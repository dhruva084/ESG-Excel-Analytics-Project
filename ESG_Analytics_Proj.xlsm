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liveuwstout-my.sharepoint.com/personal/pateld3680_my_uwstout_edu/Documents/Econ of sust/"/>
    </mc:Choice>
  </mc:AlternateContent>
  <xr:revisionPtr revIDLastSave="481" documentId="8_{3BB07A84-F947-4878-B754-3132E91A9526}" xr6:coauthVersionLast="47" xr6:coauthVersionMax="47" xr10:uidLastSave="{FB5F9BB9-DC5F-47BA-9D2A-35A58C008CCA}"/>
  <workbookProtection workbookAlgorithmName="SHA-512" workbookHashValue="LWRThW0f9Nm/8YIk/v5nfheI5+1McUgfaiH+/aFixTRNpM5ncFsdAhCI2W4a2WIMIZoyFGy4SLLi8tauRtsKUg==" workbookSaltValue="uNeXvmzkdxtSIdr28xI3ww==" workbookSpinCount="100000" lockStructure="1"/>
  <bookViews>
    <workbookView xWindow="-110" yWindow="-110" windowWidth="19420" windowHeight="10300" tabRatio="591" firstSheet="5" activeTab="6" xr2:uid="{00000000-000D-0000-FFFF-FFFF00000000}"/>
  </bookViews>
  <sheets>
    <sheet name="Company_Master" sheetId="1" state="hidden" r:id="rId1"/>
    <sheet name="Environmental" sheetId="2" state="hidden" r:id="rId2"/>
    <sheet name="Social" sheetId="3" state="hidden" r:id="rId3"/>
    <sheet name="Governance" sheetId="4" state="hidden" r:id="rId4"/>
    <sheet name="Financial" sheetId="5" state="hidden" r:id="rId5"/>
    <sheet name="Pivot_Tab_Prac" sheetId="7" r:id="rId6"/>
    <sheet name="Master_Dashboard" sheetId="6" r:id="rId7"/>
    <sheet name="Risk-flagging" sheetId="8" r:id="rId8"/>
  </sheets>
  <definedNames>
    <definedName name="_xlnm._FilterDatabase" localSheetId="0" hidden="1">Company_Master!$A$1:$I$101</definedName>
    <definedName name="_xlnm._FilterDatabase" localSheetId="7" hidden="1">'Risk-flagging'!$A$1:$D$1</definedName>
    <definedName name="Slicer_Country">#N/A</definedName>
    <definedName name="Slicer_Industry">#N/A</definedName>
    <definedName name="Slicer_Industry1">#N/A</definedName>
  </definedNames>
  <calcPr calcId="191028" iterateDelta="1E-4"/>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6" l="1" a="1"/>
  <c r="O10" i="6" s="1"/>
  <c r="O13" i="6" a="1"/>
  <c r="O13" i="6" s="1"/>
  <c r="D12" i="8"/>
  <c r="X2" i="1" a="1"/>
  <c r="X2" i="1" s="1"/>
  <c r="L11" i="1"/>
  <c r="N11" i="1" s="1" a="1"/>
  <c r="N11" i="1" s="1"/>
  <c r="C11" i="8"/>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2" i="1"/>
  <c r="L3" i="1"/>
  <c r="N3" i="1" s="1" a="1"/>
  <c r="N3" i="1" s="1"/>
  <c r="L4" i="1"/>
  <c r="N4" i="1" s="1" a="1"/>
  <c r="N4" i="1" s="1"/>
  <c r="L5" i="1"/>
  <c r="L6" i="1"/>
  <c r="L7" i="1"/>
  <c r="L8" i="1"/>
  <c r="N8" i="1" s="1" a="1"/>
  <c r="N8" i="1" s="1"/>
  <c r="L9" i="1"/>
  <c r="N9" i="1" s="1" a="1"/>
  <c r="N9" i="1" s="1"/>
  <c r="L10" i="1"/>
  <c r="N10" i="1" s="1" a="1"/>
  <c r="N10" i="1" s="1"/>
  <c r="L12" i="1"/>
  <c r="N12" i="1" s="1" a="1"/>
  <c r="N12" i="1" s="1"/>
  <c r="L13" i="1"/>
  <c r="N13" i="1" s="1" a="1"/>
  <c r="N13" i="1" s="1"/>
  <c r="L14" i="1"/>
  <c r="N14" i="1" s="1" a="1"/>
  <c r="N14" i="1" s="1"/>
  <c r="L15" i="1"/>
  <c r="N15" i="1" s="1" a="1"/>
  <c r="N15" i="1" s="1"/>
  <c r="L16" i="1"/>
  <c r="N16" i="1" s="1" a="1"/>
  <c r="N16" i="1" s="1"/>
  <c r="L17" i="1"/>
  <c r="N17" i="1" s="1" a="1"/>
  <c r="N17" i="1" s="1"/>
  <c r="L18" i="1"/>
  <c r="N18" i="1" s="1" a="1"/>
  <c r="N18" i="1" s="1"/>
  <c r="L19" i="1"/>
  <c r="N19" i="1" s="1" a="1"/>
  <c r="N19" i="1" s="1"/>
  <c r="L20" i="1"/>
  <c r="N20" i="1" s="1" a="1"/>
  <c r="N20" i="1" s="1"/>
  <c r="L21" i="1"/>
  <c r="N21" i="1" s="1" a="1"/>
  <c r="N21" i="1" s="1"/>
  <c r="L22" i="1"/>
  <c r="N22" i="1" s="1" a="1"/>
  <c r="N22" i="1" s="1"/>
  <c r="L23" i="1"/>
  <c r="N23" i="1" s="1" a="1"/>
  <c r="N23" i="1" s="1"/>
  <c r="L24" i="1"/>
  <c r="N24" i="1" s="1" a="1"/>
  <c r="N24" i="1" s="1"/>
  <c r="L25" i="1"/>
  <c r="N25" i="1" s="1" a="1"/>
  <c r="N25" i="1" s="1"/>
  <c r="L26" i="1"/>
  <c r="N26" i="1" s="1" a="1"/>
  <c r="N26" i="1" s="1"/>
  <c r="L27" i="1"/>
  <c r="N27" i="1" s="1" a="1"/>
  <c r="N27" i="1" s="1"/>
  <c r="L28" i="1"/>
  <c r="N28" i="1" s="1" a="1"/>
  <c r="N28" i="1" s="1"/>
  <c r="L29" i="1"/>
  <c r="N29" i="1" s="1" a="1"/>
  <c r="N29" i="1" s="1"/>
  <c r="L30" i="1"/>
  <c r="N30" i="1" s="1" a="1"/>
  <c r="N30" i="1" s="1"/>
  <c r="L31" i="1"/>
  <c r="N31" i="1" s="1" a="1"/>
  <c r="N31" i="1" s="1"/>
  <c r="L32" i="1"/>
  <c r="N32" i="1" s="1" a="1"/>
  <c r="N32" i="1" s="1"/>
  <c r="L33" i="1"/>
  <c r="N33" i="1" s="1" a="1"/>
  <c r="N33" i="1" s="1"/>
  <c r="L34" i="1"/>
  <c r="N34" i="1" s="1" a="1"/>
  <c r="N34" i="1" s="1"/>
  <c r="L35" i="1"/>
  <c r="N35" i="1" s="1" a="1"/>
  <c r="N35" i="1" s="1"/>
  <c r="L36" i="1"/>
  <c r="N36" i="1" s="1" a="1"/>
  <c r="N36" i="1" s="1"/>
  <c r="L37" i="1"/>
  <c r="N37" i="1" s="1" a="1"/>
  <c r="N37" i="1" s="1"/>
  <c r="L38" i="1"/>
  <c r="N38" i="1" s="1" a="1"/>
  <c r="N38" i="1" s="1"/>
  <c r="L39" i="1"/>
  <c r="N39" i="1" s="1" a="1"/>
  <c r="N39" i="1" s="1"/>
  <c r="L40" i="1"/>
  <c r="N40" i="1" s="1" a="1"/>
  <c r="N40" i="1" s="1"/>
  <c r="L41" i="1"/>
  <c r="N41" i="1" s="1" a="1"/>
  <c r="N41" i="1" s="1"/>
  <c r="L42" i="1"/>
  <c r="N42" i="1" s="1" a="1"/>
  <c r="N42" i="1" s="1"/>
  <c r="L43" i="1"/>
  <c r="N43" i="1" s="1" a="1"/>
  <c r="N43" i="1" s="1"/>
  <c r="L44" i="1"/>
  <c r="N44" i="1" s="1" a="1"/>
  <c r="N44" i="1" s="1"/>
  <c r="L45" i="1"/>
  <c r="N45" i="1" s="1" a="1"/>
  <c r="N45" i="1" s="1"/>
  <c r="L46" i="1"/>
  <c r="N46" i="1" s="1" a="1"/>
  <c r="N46" i="1" s="1"/>
  <c r="L47" i="1"/>
  <c r="N47" i="1" s="1" a="1"/>
  <c r="N47" i="1" s="1"/>
  <c r="L48" i="1"/>
  <c r="N48" i="1" s="1" a="1"/>
  <c r="N48" i="1" s="1"/>
  <c r="L49" i="1"/>
  <c r="N49" i="1" s="1" a="1"/>
  <c r="N49" i="1" s="1"/>
  <c r="L50" i="1"/>
  <c r="N50" i="1" s="1" a="1"/>
  <c r="N50" i="1" s="1"/>
  <c r="L51" i="1"/>
  <c r="N51" i="1" s="1" a="1"/>
  <c r="N51" i="1" s="1"/>
  <c r="L52" i="1"/>
  <c r="N52" i="1" s="1" a="1"/>
  <c r="N52" i="1" s="1"/>
  <c r="L53" i="1"/>
  <c r="N53" i="1" s="1" a="1"/>
  <c r="N53" i="1" s="1"/>
  <c r="L54" i="1"/>
  <c r="N54" i="1" s="1" a="1"/>
  <c r="N54" i="1" s="1"/>
  <c r="L55" i="1"/>
  <c r="N55" i="1" s="1" a="1"/>
  <c r="N55" i="1" s="1"/>
  <c r="L56" i="1"/>
  <c r="N56" i="1" s="1" a="1"/>
  <c r="N56" i="1" s="1"/>
  <c r="L57" i="1"/>
  <c r="N57" i="1" s="1" a="1"/>
  <c r="N57" i="1" s="1"/>
  <c r="L58" i="1"/>
  <c r="N58" i="1" s="1" a="1"/>
  <c r="N58" i="1" s="1"/>
  <c r="L59" i="1"/>
  <c r="N59" i="1" s="1" a="1"/>
  <c r="N59" i="1" s="1"/>
  <c r="L60" i="1"/>
  <c r="N60" i="1" s="1" a="1"/>
  <c r="N60" i="1" s="1"/>
  <c r="L61" i="1"/>
  <c r="N61" i="1" s="1" a="1"/>
  <c r="N61" i="1" s="1"/>
  <c r="L62" i="1"/>
  <c r="N62" i="1" s="1" a="1"/>
  <c r="N62" i="1" s="1"/>
  <c r="L63" i="1"/>
  <c r="L64" i="1"/>
  <c r="L65" i="1"/>
  <c r="N65" i="1" s="1" a="1"/>
  <c r="N65" i="1" s="1"/>
  <c r="L66" i="1"/>
  <c r="N66" i="1" s="1" a="1"/>
  <c r="N66" i="1" s="1"/>
  <c r="L67" i="1"/>
  <c r="N67" i="1" s="1" a="1"/>
  <c r="N67" i="1" s="1"/>
  <c r="L68" i="1"/>
  <c r="N68" i="1" s="1" a="1"/>
  <c r="N68" i="1" s="1"/>
  <c r="L69" i="1"/>
  <c r="N69" i="1" s="1" a="1"/>
  <c r="N69" i="1" s="1"/>
  <c r="L70" i="1"/>
  <c r="N70" i="1" s="1" a="1"/>
  <c r="N70" i="1" s="1"/>
  <c r="L71" i="1"/>
  <c r="N71" i="1" s="1" a="1"/>
  <c r="N71" i="1" s="1"/>
  <c r="L72" i="1"/>
  <c r="N72" i="1" s="1" a="1"/>
  <c r="N72" i="1" s="1"/>
  <c r="L73" i="1"/>
  <c r="N73" i="1" s="1" a="1"/>
  <c r="N73" i="1" s="1"/>
  <c r="L74" i="1"/>
  <c r="N74" i="1" s="1" a="1"/>
  <c r="N74" i="1" s="1"/>
  <c r="L75" i="1"/>
  <c r="N75" i="1" s="1" a="1"/>
  <c r="N75" i="1" s="1"/>
  <c r="L76" i="1"/>
  <c r="N76" i="1" s="1" a="1"/>
  <c r="N76" i="1" s="1"/>
  <c r="L77" i="1"/>
  <c r="N77" i="1" s="1" a="1"/>
  <c r="N77" i="1" s="1"/>
  <c r="L78" i="1"/>
  <c r="N78" i="1" s="1" a="1"/>
  <c r="N78" i="1" s="1"/>
  <c r="L79" i="1"/>
  <c r="N79" i="1" s="1" a="1"/>
  <c r="N79" i="1" s="1"/>
  <c r="L80" i="1"/>
  <c r="N80" i="1" s="1" a="1"/>
  <c r="N80" i="1" s="1"/>
  <c r="L81" i="1"/>
  <c r="N81" i="1" s="1" a="1"/>
  <c r="N81" i="1" s="1"/>
  <c r="L82" i="1"/>
  <c r="N82" i="1" s="1" a="1"/>
  <c r="N82" i="1" s="1"/>
  <c r="L83" i="1"/>
  <c r="N83" i="1" s="1" a="1"/>
  <c r="N83" i="1" s="1"/>
  <c r="L84" i="1"/>
  <c r="N84" i="1" s="1" a="1"/>
  <c r="N84" i="1" s="1"/>
  <c r="L85" i="1"/>
  <c r="N85" i="1" s="1" a="1"/>
  <c r="N85" i="1" s="1"/>
  <c r="L86" i="1"/>
  <c r="N86" i="1" s="1" a="1"/>
  <c r="N86" i="1" s="1"/>
  <c r="L87" i="1"/>
  <c r="N87" i="1" s="1" a="1"/>
  <c r="N87" i="1" s="1"/>
  <c r="L88" i="1"/>
  <c r="N88" i="1" s="1" a="1"/>
  <c r="N88" i="1" s="1"/>
  <c r="L89" i="1"/>
  <c r="N89" i="1" s="1" a="1"/>
  <c r="N89" i="1" s="1"/>
  <c r="L90" i="1"/>
  <c r="N90" i="1" s="1" a="1"/>
  <c r="N90" i="1" s="1"/>
  <c r="L91" i="1"/>
  <c r="N91" i="1" s="1" a="1"/>
  <c r="N91" i="1" s="1"/>
  <c r="L92" i="1"/>
  <c r="N92" i="1" s="1" a="1"/>
  <c r="N92" i="1" s="1"/>
  <c r="L93" i="1"/>
  <c r="N93" i="1" s="1" a="1"/>
  <c r="N93" i="1" s="1"/>
  <c r="L94" i="1"/>
  <c r="N94" i="1" s="1" a="1"/>
  <c r="N94" i="1" s="1"/>
  <c r="L95" i="1"/>
  <c r="N95" i="1" s="1" a="1"/>
  <c r="N95" i="1" s="1"/>
  <c r="L96" i="1"/>
  <c r="N96" i="1" s="1" a="1"/>
  <c r="N96" i="1" s="1"/>
  <c r="L97" i="1"/>
  <c r="N97" i="1" s="1" a="1"/>
  <c r="N97" i="1" s="1"/>
  <c r="L98" i="1"/>
  <c r="N98" i="1" s="1" a="1"/>
  <c r="N98" i="1" s="1"/>
  <c r="L99" i="1"/>
  <c r="N99" i="1" s="1" a="1"/>
  <c r="N99" i="1" s="1"/>
  <c r="L100" i="1"/>
  <c r="N100" i="1" s="1" a="1"/>
  <c r="N100" i="1" s="1"/>
  <c r="L101" i="1"/>
  <c r="N101" i="1" s="1" a="1"/>
  <c r="N101" i="1" s="1"/>
  <c r="C3" i="8"/>
  <c r="C4" i="8"/>
  <c r="C5" i="8"/>
  <c r="C6" i="8"/>
  <c r="C7" i="8"/>
  <c r="C8" i="8"/>
  <c r="C9" i="8"/>
  <c r="C10"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2"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2" i="8"/>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2" i="8"/>
  <c r="L2"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2" i="6"/>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2"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2"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2" i="6"/>
  <c r="A10" i="6"/>
  <c r="C10" i="6" s="1"/>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2" i="6"/>
  <c r="A19" i="6"/>
  <c r="C19" i="6" s="1"/>
  <c r="A20" i="6"/>
  <c r="C20" i="6" s="1"/>
  <c r="A21" i="6"/>
  <c r="C21" i="6" s="1"/>
  <c r="A22" i="6"/>
  <c r="C22" i="6" s="1"/>
  <c r="A23" i="6"/>
  <c r="C23" i="6" s="1"/>
  <c r="A24" i="6"/>
  <c r="C24" i="6" s="1"/>
  <c r="A25" i="6"/>
  <c r="C25" i="6" s="1"/>
  <c r="A26" i="6"/>
  <c r="C26" i="6" s="1"/>
  <c r="A27" i="6"/>
  <c r="C27" i="6" s="1"/>
  <c r="A28" i="6"/>
  <c r="C28" i="6" s="1"/>
  <c r="A29" i="6"/>
  <c r="C29" i="6" s="1"/>
  <c r="A30" i="6"/>
  <c r="C30" i="6" s="1"/>
  <c r="A31" i="6"/>
  <c r="C31" i="6" s="1"/>
  <c r="A32" i="6"/>
  <c r="C32" i="6" s="1"/>
  <c r="A33" i="6"/>
  <c r="C33" i="6" s="1"/>
  <c r="A34" i="6"/>
  <c r="C34" i="6" s="1"/>
  <c r="A35" i="6"/>
  <c r="C35" i="6" s="1"/>
  <c r="A36" i="6"/>
  <c r="C36" i="6" s="1"/>
  <c r="A37" i="6"/>
  <c r="C37" i="6" s="1"/>
  <c r="A38" i="6"/>
  <c r="C38" i="6" s="1"/>
  <c r="A39" i="6"/>
  <c r="C39" i="6" s="1"/>
  <c r="A40" i="6"/>
  <c r="C40" i="6" s="1"/>
  <c r="A41" i="6"/>
  <c r="C41" i="6" s="1"/>
  <c r="A42" i="6"/>
  <c r="C42" i="6" s="1"/>
  <c r="A43" i="6"/>
  <c r="C43" i="6" s="1"/>
  <c r="A44" i="6"/>
  <c r="C44" i="6" s="1"/>
  <c r="A45" i="6"/>
  <c r="C45" i="6" s="1"/>
  <c r="A46" i="6"/>
  <c r="C46" i="6" s="1"/>
  <c r="A47" i="6"/>
  <c r="C47" i="6" s="1"/>
  <c r="A48" i="6"/>
  <c r="C48" i="6" s="1"/>
  <c r="A49" i="6"/>
  <c r="C49" i="6" s="1"/>
  <c r="A50" i="6"/>
  <c r="C50" i="6" s="1"/>
  <c r="A51" i="6"/>
  <c r="C51" i="6" s="1"/>
  <c r="A52" i="6"/>
  <c r="C52" i="6" s="1"/>
  <c r="A53" i="6"/>
  <c r="C53" i="6" s="1"/>
  <c r="A54" i="6"/>
  <c r="C54" i="6" s="1"/>
  <c r="A55" i="6"/>
  <c r="C55" i="6" s="1"/>
  <c r="A56" i="6"/>
  <c r="C56" i="6" s="1"/>
  <c r="A57" i="6"/>
  <c r="C57" i="6" s="1"/>
  <c r="A58" i="6"/>
  <c r="C58" i="6" s="1"/>
  <c r="A59" i="6"/>
  <c r="C59" i="6" s="1"/>
  <c r="A60" i="6"/>
  <c r="C60" i="6" s="1"/>
  <c r="A61" i="6"/>
  <c r="C61" i="6" s="1"/>
  <c r="A62" i="6"/>
  <c r="C62" i="6" s="1"/>
  <c r="A63" i="6"/>
  <c r="C63" i="6" s="1"/>
  <c r="A64" i="6"/>
  <c r="C64" i="6" s="1"/>
  <c r="A65" i="6"/>
  <c r="C65" i="6" s="1"/>
  <c r="A66" i="6"/>
  <c r="C66" i="6" s="1"/>
  <c r="A67" i="6"/>
  <c r="C67" i="6" s="1"/>
  <c r="A68" i="6"/>
  <c r="C68" i="6" s="1"/>
  <c r="A69" i="6"/>
  <c r="C69" i="6" s="1"/>
  <c r="A70" i="6"/>
  <c r="C70" i="6" s="1"/>
  <c r="A71" i="6"/>
  <c r="C71" i="6" s="1"/>
  <c r="A72" i="6"/>
  <c r="C72" i="6" s="1"/>
  <c r="A73" i="6"/>
  <c r="C73" i="6" s="1"/>
  <c r="A74" i="6"/>
  <c r="C74" i="6" s="1"/>
  <c r="A75" i="6"/>
  <c r="C75" i="6" s="1"/>
  <c r="A76" i="6"/>
  <c r="C76" i="6" s="1"/>
  <c r="A77" i="6"/>
  <c r="C77" i="6" s="1"/>
  <c r="A78" i="6"/>
  <c r="C78" i="6" s="1"/>
  <c r="A79" i="6"/>
  <c r="C79" i="6" s="1"/>
  <c r="A80" i="6"/>
  <c r="C80" i="6" s="1"/>
  <c r="A81" i="6"/>
  <c r="C81" i="6" s="1"/>
  <c r="A82" i="6"/>
  <c r="C82" i="6" s="1"/>
  <c r="A83" i="6"/>
  <c r="C83" i="6" s="1"/>
  <c r="A84" i="6"/>
  <c r="C84" i="6" s="1"/>
  <c r="A85" i="6"/>
  <c r="C85" i="6" s="1"/>
  <c r="A86" i="6"/>
  <c r="C86" i="6" s="1"/>
  <c r="A87" i="6"/>
  <c r="C87" i="6" s="1"/>
  <c r="A88" i="6"/>
  <c r="C88" i="6" s="1"/>
  <c r="A89" i="6"/>
  <c r="C89" i="6" s="1"/>
  <c r="A90" i="6"/>
  <c r="C90" i="6" s="1"/>
  <c r="A91" i="6"/>
  <c r="C91" i="6" s="1"/>
  <c r="A92" i="6"/>
  <c r="C92" i="6" s="1"/>
  <c r="A93" i="6"/>
  <c r="C93" i="6" s="1"/>
  <c r="A94" i="6"/>
  <c r="C94" i="6" s="1"/>
  <c r="A95" i="6"/>
  <c r="C95" i="6" s="1"/>
  <c r="A96" i="6"/>
  <c r="C96" i="6" s="1"/>
  <c r="A97" i="6"/>
  <c r="C97" i="6" s="1"/>
  <c r="A98" i="6"/>
  <c r="C98" i="6" s="1"/>
  <c r="A99" i="6"/>
  <c r="C99" i="6" s="1"/>
  <c r="A100" i="6"/>
  <c r="C100" i="6" s="1"/>
  <c r="A101" i="6"/>
  <c r="C101" i="6" s="1"/>
  <c r="A4" i="6"/>
  <c r="C4" i="6" s="1"/>
  <c r="A5" i="6"/>
  <c r="C5" i="6" s="1"/>
  <c r="A6" i="6"/>
  <c r="C6" i="6" s="1"/>
  <c r="A7" i="6"/>
  <c r="C7" i="6" s="1"/>
  <c r="A8" i="6"/>
  <c r="C8" i="6" s="1"/>
  <c r="A9" i="6"/>
  <c r="C9" i="6" s="1"/>
  <c r="A11" i="6"/>
  <c r="C11" i="6" s="1"/>
  <c r="A12" i="6"/>
  <c r="C12" i="6" s="1"/>
  <c r="A13" i="6"/>
  <c r="C13" i="6" s="1"/>
  <c r="A14" i="6"/>
  <c r="C14" i="6" s="1"/>
  <c r="A15" i="6"/>
  <c r="C15" i="6" s="1"/>
  <c r="A16" i="6"/>
  <c r="C16" i="6" s="1"/>
  <c r="A17" i="6"/>
  <c r="C17" i="6" s="1"/>
  <c r="A18" i="6"/>
  <c r="C18" i="6" s="1"/>
  <c r="A3" i="6"/>
  <c r="C3" i="6" s="1"/>
  <c r="A2" i="6"/>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2" i="4"/>
  <c r="L3" i="4"/>
  <c r="L4" i="4"/>
  <c r="L5" i="4"/>
  <c r="L6" i="4"/>
  <c r="L7" i="4"/>
  <c r="L8" i="4"/>
  <c r="L9" i="4"/>
  <c r="L10" i="4"/>
  <c r="L11" i="4"/>
  <c r="N11" i="4" s="1"/>
  <c r="L12" i="4"/>
  <c r="N12" i="4" s="1"/>
  <c r="L13" i="4"/>
  <c r="L14" i="4"/>
  <c r="L15" i="4"/>
  <c r="L16" i="4"/>
  <c r="L17" i="4"/>
  <c r="L18" i="4"/>
  <c r="L19" i="4"/>
  <c r="L20" i="4"/>
  <c r="L21" i="4"/>
  <c r="L22" i="4"/>
  <c r="L23" i="4"/>
  <c r="L24" i="4"/>
  <c r="L25" i="4"/>
  <c r="L26" i="4"/>
  <c r="L27" i="4"/>
  <c r="N27" i="4" s="1"/>
  <c r="L28" i="4"/>
  <c r="N28" i="4" s="1"/>
  <c r="L29" i="4"/>
  <c r="L30" i="4"/>
  <c r="L31" i="4"/>
  <c r="L32" i="4"/>
  <c r="L33" i="4"/>
  <c r="L34" i="4"/>
  <c r="L35" i="4"/>
  <c r="L36" i="4"/>
  <c r="L37" i="4"/>
  <c r="L38" i="4"/>
  <c r="L39" i="4"/>
  <c r="L40" i="4"/>
  <c r="L41" i="4"/>
  <c r="L42" i="4"/>
  <c r="L43" i="4"/>
  <c r="N43" i="4" s="1"/>
  <c r="L44" i="4"/>
  <c r="N44" i="4" s="1"/>
  <c r="L45" i="4"/>
  <c r="L46" i="4"/>
  <c r="L47" i="4"/>
  <c r="L48" i="4"/>
  <c r="L49" i="4"/>
  <c r="L50" i="4"/>
  <c r="L51" i="4"/>
  <c r="L52" i="4"/>
  <c r="L53" i="4"/>
  <c r="L54" i="4"/>
  <c r="L55" i="4"/>
  <c r="L56" i="4"/>
  <c r="L57" i="4"/>
  <c r="L58" i="4"/>
  <c r="L59" i="4"/>
  <c r="N59" i="4" s="1"/>
  <c r="L60" i="4"/>
  <c r="N60" i="4" s="1"/>
  <c r="L61" i="4"/>
  <c r="L62" i="4"/>
  <c r="L63" i="4"/>
  <c r="L64" i="4"/>
  <c r="L65" i="4"/>
  <c r="L66" i="4"/>
  <c r="L67" i="4"/>
  <c r="L68" i="4"/>
  <c r="L69" i="4"/>
  <c r="L70" i="4"/>
  <c r="L71" i="4"/>
  <c r="L72" i="4"/>
  <c r="L73" i="4"/>
  <c r="L74" i="4"/>
  <c r="L75" i="4"/>
  <c r="N75" i="4" s="1"/>
  <c r="L76" i="4"/>
  <c r="N76" i="4" s="1"/>
  <c r="L77" i="4"/>
  <c r="L78" i="4"/>
  <c r="L79" i="4"/>
  <c r="L80" i="4"/>
  <c r="L81" i="4"/>
  <c r="L82" i="4"/>
  <c r="L83" i="4"/>
  <c r="L84" i="4"/>
  <c r="L85" i="4"/>
  <c r="L86" i="4"/>
  <c r="L87" i="4"/>
  <c r="L88" i="4"/>
  <c r="L89" i="4"/>
  <c r="L90" i="4"/>
  <c r="L91" i="4"/>
  <c r="N91" i="4" s="1"/>
  <c r="L92" i="4"/>
  <c r="N92" i="4" s="1"/>
  <c r="L93" i="4"/>
  <c r="L94" i="4"/>
  <c r="L95" i="4"/>
  <c r="L96" i="4"/>
  <c r="L97" i="4"/>
  <c r="L98" i="4"/>
  <c r="L99" i="4"/>
  <c r="L100" i="4"/>
  <c r="L101" i="4"/>
  <c r="L2" i="4"/>
  <c r="K2" i="4"/>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I1" i="4"/>
  <c r="G5" i="4" s="1"/>
  <c r="I2" i="4"/>
  <c r="I3"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2" i="4"/>
  <c r="L2" i="1"/>
  <c r="N2" i="1" s="1" a="1"/>
  <c r="N2" i="1" s="1"/>
  <c r="D2" i="8" s="1"/>
  <c r="K2" i="1"/>
  <c r="M2" i="1" s="1"/>
  <c r="T13" i="1"/>
  <c r="T12" i="1"/>
  <c r="T11" i="1"/>
  <c r="N63" i="1" a="1"/>
  <c r="N63" i="1" s="1"/>
  <c r="N64" i="1" a="1"/>
  <c r="N64" i="1" s="1"/>
  <c r="K3" i="1"/>
  <c r="M3" i="1" s="1"/>
  <c r="K4" i="1"/>
  <c r="M4" i="1" s="1"/>
  <c r="K5" i="1"/>
  <c r="M5" i="1" s="1"/>
  <c r="K6" i="1"/>
  <c r="M6" i="1" s="1"/>
  <c r="K7" i="1"/>
  <c r="M7" i="1" s="1"/>
  <c r="K8" i="1"/>
  <c r="M8" i="1" s="1"/>
  <c r="K9" i="1"/>
  <c r="M9" i="1" s="1"/>
  <c r="K10" i="1"/>
  <c r="M10" i="1" s="1"/>
  <c r="K11" i="1"/>
  <c r="M11" i="1" s="1"/>
  <c r="K12" i="1"/>
  <c r="M12" i="1" s="1"/>
  <c r="K13" i="1"/>
  <c r="M13" i="1" s="1"/>
  <c r="K14" i="1"/>
  <c r="M14" i="1" s="1"/>
  <c r="K15" i="1"/>
  <c r="M15" i="1" s="1"/>
  <c r="K16" i="1"/>
  <c r="M16" i="1" s="1"/>
  <c r="K17" i="1"/>
  <c r="M17" i="1" s="1"/>
  <c r="K18" i="1"/>
  <c r="M18" i="1" s="1"/>
  <c r="K19" i="1"/>
  <c r="M19" i="1" s="1"/>
  <c r="K20" i="1"/>
  <c r="M20" i="1" s="1"/>
  <c r="K21" i="1"/>
  <c r="M21" i="1" s="1"/>
  <c r="K22" i="1"/>
  <c r="M22" i="1" s="1"/>
  <c r="K23" i="1"/>
  <c r="M23" i="1" s="1"/>
  <c r="K24" i="1"/>
  <c r="M24" i="1" s="1"/>
  <c r="K25" i="1"/>
  <c r="M25" i="1" s="1"/>
  <c r="K26" i="1"/>
  <c r="M26" i="1" s="1"/>
  <c r="K27" i="1"/>
  <c r="M27" i="1" s="1"/>
  <c r="K28" i="1"/>
  <c r="M28" i="1" s="1"/>
  <c r="K29" i="1"/>
  <c r="M29" i="1" s="1"/>
  <c r="K30" i="1"/>
  <c r="M30" i="1" s="1"/>
  <c r="K31" i="1"/>
  <c r="M31" i="1" s="1"/>
  <c r="K32" i="1"/>
  <c r="M32" i="1" s="1"/>
  <c r="K33" i="1"/>
  <c r="M33" i="1" s="1"/>
  <c r="K34" i="1"/>
  <c r="M34" i="1" s="1"/>
  <c r="K35" i="1"/>
  <c r="M35" i="1" s="1"/>
  <c r="K36" i="1"/>
  <c r="M36" i="1" s="1"/>
  <c r="K37" i="1"/>
  <c r="M37" i="1" s="1"/>
  <c r="K38" i="1"/>
  <c r="M38" i="1" s="1"/>
  <c r="K39" i="1"/>
  <c r="M39" i="1" s="1"/>
  <c r="K40" i="1"/>
  <c r="M40" i="1" s="1"/>
  <c r="K41" i="1"/>
  <c r="M41" i="1" s="1"/>
  <c r="K42" i="1"/>
  <c r="M42" i="1" s="1"/>
  <c r="K43" i="1"/>
  <c r="M43" i="1" s="1"/>
  <c r="K44" i="1"/>
  <c r="M44" i="1" s="1"/>
  <c r="K45" i="1"/>
  <c r="M45" i="1" s="1"/>
  <c r="K46" i="1"/>
  <c r="M46" i="1" s="1"/>
  <c r="K47" i="1"/>
  <c r="M47" i="1" s="1"/>
  <c r="K48" i="1"/>
  <c r="M48" i="1" s="1"/>
  <c r="K49" i="1"/>
  <c r="M49" i="1" s="1"/>
  <c r="K50" i="1"/>
  <c r="M50" i="1" s="1"/>
  <c r="K51" i="1"/>
  <c r="M51" i="1" s="1"/>
  <c r="K52" i="1"/>
  <c r="M52" i="1" s="1"/>
  <c r="K53" i="1"/>
  <c r="M53" i="1" s="1"/>
  <c r="K54" i="1"/>
  <c r="M54" i="1" s="1"/>
  <c r="K55" i="1"/>
  <c r="M55" i="1" s="1"/>
  <c r="K56" i="1"/>
  <c r="M56" i="1" s="1"/>
  <c r="K57" i="1"/>
  <c r="M57" i="1" s="1"/>
  <c r="K58" i="1"/>
  <c r="M58" i="1" s="1"/>
  <c r="K59" i="1"/>
  <c r="M59" i="1" s="1"/>
  <c r="K60" i="1"/>
  <c r="M60" i="1" s="1"/>
  <c r="K61" i="1"/>
  <c r="M61" i="1" s="1"/>
  <c r="K62" i="1"/>
  <c r="M62" i="1" s="1"/>
  <c r="K63" i="1"/>
  <c r="M63" i="1" s="1"/>
  <c r="K64" i="1"/>
  <c r="M64" i="1" s="1"/>
  <c r="K65" i="1"/>
  <c r="M65" i="1" s="1"/>
  <c r="K66" i="1"/>
  <c r="M66" i="1" s="1"/>
  <c r="K67" i="1"/>
  <c r="M67" i="1" s="1"/>
  <c r="K68" i="1"/>
  <c r="M68" i="1" s="1"/>
  <c r="K69" i="1"/>
  <c r="M69" i="1" s="1"/>
  <c r="K70" i="1"/>
  <c r="M70" i="1" s="1"/>
  <c r="K71" i="1"/>
  <c r="M71" i="1" s="1"/>
  <c r="K72" i="1"/>
  <c r="M72" i="1" s="1"/>
  <c r="K73" i="1"/>
  <c r="M73" i="1" s="1"/>
  <c r="K74" i="1"/>
  <c r="M74" i="1" s="1"/>
  <c r="K75" i="1"/>
  <c r="M75" i="1" s="1"/>
  <c r="K76" i="1"/>
  <c r="M76" i="1" s="1"/>
  <c r="K77" i="1"/>
  <c r="M77" i="1" s="1"/>
  <c r="K78" i="1"/>
  <c r="M78" i="1" s="1"/>
  <c r="K79" i="1"/>
  <c r="M79" i="1" s="1"/>
  <c r="K80" i="1"/>
  <c r="M80" i="1" s="1"/>
  <c r="K81" i="1"/>
  <c r="M81" i="1" s="1"/>
  <c r="K82" i="1"/>
  <c r="M82" i="1" s="1"/>
  <c r="K83" i="1"/>
  <c r="M83" i="1" s="1"/>
  <c r="K84" i="1"/>
  <c r="M84" i="1" s="1"/>
  <c r="K85" i="1"/>
  <c r="M85" i="1" s="1"/>
  <c r="K86" i="1"/>
  <c r="M86" i="1" s="1"/>
  <c r="K87" i="1"/>
  <c r="M87" i="1" s="1"/>
  <c r="K88" i="1"/>
  <c r="M88" i="1" s="1"/>
  <c r="K89" i="1"/>
  <c r="M89" i="1" s="1"/>
  <c r="K90" i="1"/>
  <c r="M90" i="1" s="1"/>
  <c r="K91" i="1"/>
  <c r="M91" i="1" s="1"/>
  <c r="K92" i="1"/>
  <c r="M92" i="1" s="1"/>
  <c r="K93" i="1"/>
  <c r="M93" i="1" s="1"/>
  <c r="K94" i="1"/>
  <c r="M94" i="1" s="1"/>
  <c r="K95" i="1"/>
  <c r="M95" i="1" s="1"/>
  <c r="K96" i="1"/>
  <c r="M96" i="1" s="1"/>
  <c r="K97" i="1"/>
  <c r="M97" i="1" s="1"/>
  <c r="K98" i="1"/>
  <c r="M98" i="1" s="1"/>
  <c r="K99" i="1"/>
  <c r="M99" i="1" s="1"/>
  <c r="K100" i="1"/>
  <c r="M100" i="1" s="1"/>
  <c r="K101" i="1"/>
  <c r="M101" i="1" s="1"/>
  <c r="I2" i="1" a="1"/>
  <c r="I2" i="1" s="1"/>
  <c r="H2" i="1" a="1"/>
  <c r="H2" i="1" s="1"/>
  <c r="T9" i="1"/>
  <c r="T8" i="1"/>
  <c r="T7" i="1"/>
  <c r="T6" i="1"/>
  <c r="T5" i="1"/>
  <c r="T4" i="1"/>
  <c r="T3" i="1"/>
  <c r="T2" i="1"/>
  <c r="T14" i="1" l="1"/>
  <c r="G59" i="4"/>
  <c r="G33" i="4"/>
  <c r="G12" i="4"/>
  <c r="G100" i="4"/>
  <c r="G79" i="4"/>
  <c r="G58" i="4"/>
  <c r="G32" i="4"/>
  <c r="G11" i="4"/>
  <c r="G98" i="4"/>
  <c r="G51" i="4"/>
  <c r="G4" i="4"/>
  <c r="G97" i="4"/>
  <c r="G50" i="4"/>
  <c r="G3" i="4"/>
  <c r="G96" i="4"/>
  <c r="G49" i="4"/>
  <c r="G28" i="4"/>
  <c r="N90" i="4"/>
  <c r="N42" i="4"/>
  <c r="G95" i="4"/>
  <c r="G74" i="4"/>
  <c r="G27" i="4"/>
  <c r="N73" i="4"/>
  <c r="N41" i="4"/>
  <c r="N88" i="4"/>
  <c r="N24" i="4"/>
  <c r="G93" i="4"/>
  <c r="G92" i="4"/>
  <c r="G66" i="4"/>
  <c r="G45" i="4"/>
  <c r="G19" i="4"/>
  <c r="G91" i="4"/>
  <c r="G44" i="4"/>
  <c r="G99" i="4"/>
  <c r="G78" i="4"/>
  <c r="G31" i="4"/>
  <c r="G10" i="4"/>
  <c r="N25" i="4"/>
  <c r="N72" i="4"/>
  <c r="G83" i="4"/>
  <c r="G62" i="4"/>
  <c r="G36" i="4"/>
  <c r="G15" i="4"/>
  <c r="O3" i="6"/>
  <c r="G80" i="4"/>
  <c r="G77" i="4"/>
  <c r="G30" i="4"/>
  <c r="G76" i="4"/>
  <c r="G29" i="4"/>
  <c r="N58" i="4"/>
  <c r="N10" i="4"/>
  <c r="G48" i="4"/>
  <c r="G94" i="4"/>
  <c r="G68" i="4"/>
  <c r="G47" i="4"/>
  <c r="G26" i="4"/>
  <c r="N40" i="4"/>
  <c r="G67" i="4"/>
  <c r="G46" i="4"/>
  <c r="G20" i="4"/>
  <c r="G90" i="4"/>
  <c r="G64" i="4"/>
  <c r="G17" i="4"/>
  <c r="G82" i="4"/>
  <c r="G61" i="4"/>
  <c r="G35" i="4"/>
  <c r="G14" i="4"/>
  <c r="G52" i="4"/>
  <c r="G75" i="4"/>
  <c r="N74" i="4"/>
  <c r="N26" i="4"/>
  <c r="N89" i="4"/>
  <c r="N57" i="4"/>
  <c r="N9" i="4"/>
  <c r="N56" i="4"/>
  <c r="N8" i="4"/>
  <c r="G65" i="4"/>
  <c r="G18" i="4"/>
  <c r="G43" i="4"/>
  <c r="G84" i="4"/>
  <c r="G63" i="4"/>
  <c r="G42" i="4"/>
  <c r="G16" i="4"/>
  <c r="D17" i="8"/>
  <c r="G81" i="4"/>
  <c r="G60" i="4"/>
  <c r="G34" i="4"/>
  <c r="G13" i="4"/>
  <c r="N55" i="4"/>
  <c r="N2" i="4"/>
  <c r="N86" i="4"/>
  <c r="N70" i="4"/>
  <c r="N54" i="4"/>
  <c r="N38" i="4"/>
  <c r="N22" i="4"/>
  <c r="N6" i="4"/>
  <c r="N101" i="4"/>
  <c r="N85" i="4"/>
  <c r="N69" i="4"/>
  <c r="N53" i="4"/>
  <c r="N37" i="4"/>
  <c r="N21" i="4"/>
  <c r="N5" i="4"/>
  <c r="N71" i="4"/>
  <c r="N52" i="4"/>
  <c r="N51" i="4"/>
  <c r="N82" i="4"/>
  <c r="N18" i="4"/>
  <c r="G89" i="4"/>
  <c r="G73" i="4"/>
  <c r="G57" i="4"/>
  <c r="G41" i="4"/>
  <c r="G25" i="4"/>
  <c r="G9" i="4"/>
  <c r="N97" i="4"/>
  <c r="N81" i="4"/>
  <c r="N65" i="4"/>
  <c r="N49" i="4"/>
  <c r="N33" i="4"/>
  <c r="N17" i="4"/>
  <c r="N7" i="4"/>
  <c r="N36" i="4"/>
  <c r="N35" i="4"/>
  <c r="N50" i="4"/>
  <c r="G88" i="4"/>
  <c r="G72" i="4"/>
  <c r="G56" i="4"/>
  <c r="G40" i="4"/>
  <c r="G24" i="4"/>
  <c r="G8" i="4"/>
  <c r="N96" i="4"/>
  <c r="N80" i="4"/>
  <c r="N64" i="4"/>
  <c r="N48" i="4"/>
  <c r="N32" i="4"/>
  <c r="N16" i="4"/>
  <c r="N39" i="4"/>
  <c r="N68" i="4"/>
  <c r="N99" i="4"/>
  <c r="N66" i="4"/>
  <c r="G87" i="4"/>
  <c r="G71" i="4"/>
  <c r="G55" i="4"/>
  <c r="G39" i="4"/>
  <c r="G23" i="4"/>
  <c r="G7" i="4"/>
  <c r="N95" i="4"/>
  <c r="N79" i="4"/>
  <c r="N63" i="4"/>
  <c r="N47" i="4"/>
  <c r="N31" i="4"/>
  <c r="N15" i="4"/>
  <c r="N87" i="4"/>
  <c r="N84" i="4"/>
  <c r="N4" i="4"/>
  <c r="N67" i="4"/>
  <c r="N19" i="4"/>
  <c r="G2" i="4"/>
  <c r="G86" i="4"/>
  <c r="G70" i="4"/>
  <c r="G54" i="4"/>
  <c r="G38" i="4"/>
  <c r="G22" i="4"/>
  <c r="G6" i="4"/>
  <c r="N94" i="4"/>
  <c r="N78" i="4"/>
  <c r="N62" i="4"/>
  <c r="N46" i="4"/>
  <c r="N30" i="4"/>
  <c r="N14" i="4"/>
  <c r="N23" i="4"/>
  <c r="N100" i="4"/>
  <c r="N20" i="4"/>
  <c r="N83" i="4"/>
  <c r="N3" i="4"/>
  <c r="N98" i="4"/>
  <c r="N34" i="4"/>
  <c r="G101" i="4"/>
  <c r="G85" i="4"/>
  <c r="G69" i="4"/>
  <c r="G53" i="4"/>
  <c r="G37" i="4"/>
  <c r="G21" i="4"/>
  <c r="N93" i="4"/>
  <c r="N77" i="4"/>
  <c r="N61" i="4"/>
  <c r="N45" i="4"/>
  <c r="N29" i="4"/>
  <c r="N13" i="4"/>
  <c r="D57" i="8"/>
  <c r="D24" i="8"/>
  <c r="D54" i="8"/>
  <c r="D22" i="8"/>
  <c r="D27" i="8"/>
  <c r="D64" i="8"/>
  <c r="D63" i="8"/>
  <c r="D41" i="8"/>
  <c r="D9" i="8"/>
  <c r="D84" i="8"/>
  <c r="D40" i="8"/>
  <c r="D20" i="8"/>
  <c r="D74" i="8"/>
  <c r="D97" i="8"/>
  <c r="D81" i="8"/>
  <c r="D65" i="8"/>
  <c r="D49" i="8"/>
  <c r="D33" i="8"/>
  <c r="D90" i="8"/>
  <c r="D25" i="8"/>
  <c r="D96" i="8"/>
  <c r="D80" i="8"/>
  <c r="D48" i="8"/>
  <c r="D32" i="8"/>
  <c r="D16" i="8"/>
  <c r="D42" i="8"/>
  <c r="D75" i="8"/>
  <c r="D8" i="8"/>
  <c r="D70" i="8"/>
  <c r="D31" i="8"/>
  <c r="D100" i="8"/>
  <c r="D52" i="8"/>
  <c r="D101" i="8"/>
  <c r="D37" i="8"/>
  <c r="D85" i="8"/>
  <c r="D53" i="8"/>
  <c r="D99" i="8"/>
  <c r="D83" i="8"/>
  <c r="D67" i="8"/>
  <c r="D51" i="8"/>
  <c r="D35" i="8"/>
  <c r="D19" i="8"/>
  <c r="D4" i="8"/>
  <c r="D36" i="8"/>
  <c r="D69" i="8"/>
  <c r="D21" i="8"/>
  <c r="D68" i="8"/>
  <c r="D98" i="8"/>
  <c r="D82" i="8"/>
  <c r="D66" i="8"/>
  <c r="D50" i="8"/>
  <c r="D34" i="8"/>
  <c r="D18" i="8"/>
  <c r="D87" i="8"/>
  <c r="D72" i="8"/>
  <c r="D76" i="8"/>
  <c r="D93" i="8"/>
  <c r="D3" i="8"/>
  <c r="D38" i="8"/>
  <c r="D55" i="8"/>
  <c r="D56" i="8"/>
  <c r="D88" i="8"/>
  <c r="D10" i="8"/>
  <c r="D26" i="8"/>
  <c r="D58" i="8"/>
  <c r="D59" i="8"/>
  <c r="D28" i="8"/>
  <c r="D44" i="8"/>
  <c r="D92" i="8"/>
  <c r="D61" i="8"/>
  <c r="D62" i="8"/>
  <c r="D94" i="8"/>
  <c r="D15" i="8"/>
  <c r="D47" i="8"/>
  <c r="D79" i="8"/>
  <c r="D86" i="8"/>
  <c r="D23" i="8"/>
  <c r="D39" i="8"/>
  <c r="D71" i="8"/>
  <c r="D73" i="8"/>
  <c r="D89" i="8"/>
  <c r="D11" i="8"/>
  <c r="D43" i="8"/>
  <c r="D91" i="8"/>
  <c r="D60" i="8"/>
  <c r="D13" i="8"/>
  <c r="D29" i="8"/>
  <c r="D45" i="8"/>
  <c r="D77" i="8"/>
  <c r="D14" i="8"/>
  <c r="D30" i="8"/>
  <c r="D46" i="8"/>
  <c r="D78" i="8"/>
  <c r="D95" i="8"/>
  <c r="O17" i="6" a="1"/>
  <c r="O17" i="6" s="1"/>
  <c r="O9" i="6" a="1"/>
  <c r="O9" i="6" s="1"/>
  <c r="O11" i="6" a="1"/>
  <c r="O11" i="6" s="1"/>
  <c r="O18" i="6" a="1"/>
  <c r="O18" i="6" s="1"/>
  <c r="O15" i="6" a="1"/>
  <c r="O15" i="6" s="1"/>
  <c r="O16" i="6" a="1"/>
  <c r="O16" i="6" s="1"/>
  <c r="O12" i="6" a="1"/>
  <c r="O12" i="6" s="1"/>
  <c r="O19" i="6" a="1"/>
  <c r="O19" i="6" s="1"/>
  <c r="O14" i="6" a="1"/>
  <c r="O14" i="6" s="1"/>
  <c r="O4" i="6"/>
  <c r="O2" i="6"/>
  <c r="O5" i="6"/>
  <c r="O1" i="6"/>
  <c r="C2" i="6"/>
  <c r="N7" i="1" a="1"/>
  <c r="N7" i="1" s="1"/>
  <c r="D7" i="8" s="1"/>
  <c r="N6" i="1" a="1"/>
  <c r="N6" i="1" s="1"/>
  <c r="D6" i="8" s="1"/>
  <c r="N5" i="1" a="1"/>
  <c r="N5" i="1" s="1"/>
  <c r="D5" i="8" s="1"/>
  <c r="T1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<sst xmlns="http://schemas.openxmlformats.org/spreadsheetml/2006/main" count="848" uniqueCount="189">
  <si>
    <t>Company ID</t>
  </si>
  <si>
    <t>Company</t>
  </si>
  <si>
    <t>Industry</t>
  </si>
  <si>
    <t>Country</t>
  </si>
  <si>
    <t>Employees</t>
  </si>
  <si>
    <t>Revenue ($M)</t>
  </si>
  <si>
    <t>Market Cap ($B)</t>
  </si>
  <si>
    <t>Size Category</t>
  </si>
  <si>
    <t>Revenue per employee</t>
  </si>
  <si>
    <t>ESG Score (vlookup)</t>
  </si>
  <si>
    <t>ESG Score (xlookup)</t>
  </si>
  <si>
    <t>IFERROR</t>
  </si>
  <si>
    <t>Year</t>
  </si>
  <si>
    <t>Company 001</t>
  </si>
  <si>
    <t>Healthcare</t>
  </si>
  <si>
    <t>UK</t>
  </si>
  <si>
    <t>Manufacturing</t>
  </si>
  <si>
    <t>Total employees in all companies</t>
  </si>
  <si>
    <t>Company 002</t>
  </si>
  <si>
    <t>Finance</t>
  </si>
  <si>
    <t>USA</t>
  </si>
  <si>
    <t>Company 003</t>
  </si>
  <si>
    <t>Retail</t>
  </si>
  <si>
    <t>Highest Market Cap ($B)</t>
  </si>
  <si>
    <t>Company 004</t>
  </si>
  <si>
    <t>Japan</t>
  </si>
  <si>
    <t>Lowest Market Cap ($B)</t>
  </si>
  <si>
    <t>Company 005</t>
  </si>
  <si>
    <t>Australia</t>
  </si>
  <si>
    <t>Company 006</t>
  </si>
  <si>
    <t>Canada</t>
  </si>
  <si>
    <t>How many companies have a market cap value</t>
  </si>
  <si>
    <t>Company 007</t>
  </si>
  <si>
    <t>Company 008</t>
  </si>
  <si>
    <t>Company 009</t>
  </si>
  <si>
    <t>Energy</t>
  </si>
  <si>
    <t>Total Scope 1 emissions for Energy companies</t>
  </si>
  <si>
    <t>Company 010</t>
  </si>
  <si>
    <t>Technology</t>
  </si>
  <si>
    <t>Company 011</t>
  </si>
  <si>
    <t>Companies that have Board independence more than 60% and 0 ethics violations</t>
  </si>
  <si>
    <t>Company 012</t>
  </si>
  <si>
    <t>Germany</t>
  </si>
  <si>
    <t>Average Training Hours for companies with turnover below 10%</t>
  </si>
  <si>
    <t>Company 013</t>
  </si>
  <si>
    <t>Company 014</t>
  </si>
  <si>
    <t>Company 015</t>
  </si>
  <si>
    <t>Company 016</t>
  </si>
  <si>
    <t>Company 017</t>
  </si>
  <si>
    <t>Company 018</t>
  </si>
  <si>
    <t>Company 019</t>
  </si>
  <si>
    <t>Company 020</t>
  </si>
  <si>
    <t>Company 021</t>
  </si>
  <si>
    <t>Company 022</t>
  </si>
  <si>
    <t>Company 023</t>
  </si>
  <si>
    <t>Company 024</t>
  </si>
  <si>
    <t>Company 025</t>
  </si>
  <si>
    <t>Company 026</t>
  </si>
  <si>
    <t>Company 027</t>
  </si>
  <si>
    <t>Company 028</t>
  </si>
  <si>
    <t>Company 029</t>
  </si>
  <si>
    <t>Company 030</t>
  </si>
  <si>
    <t>Company 031</t>
  </si>
  <si>
    <t>Company 032</t>
  </si>
  <si>
    <t>Company 033</t>
  </si>
  <si>
    <t>Company 034</t>
  </si>
  <si>
    <t>Company 035</t>
  </si>
  <si>
    <t>Company 036</t>
  </si>
  <si>
    <t>Company 037</t>
  </si>
  <si>
    <t>Company 038</t>
  </si>
  <si>
    <t>Company 039</t>
  </si>
  <si>
    <t>Company 040</t>
  </si>
  <si>
    <t>Company 041</t>
  </si>
  <si>
    <t>Company 042</t>
  </si>
  <si>
    <t>Company 043</t>
  </si>
  <si>
    <t>Company 044</t>
  </si>
  <si>
    <t>Company 045</t>
  </si>
  <si>
    <t>Company 046</t>
  </si>
  <si>
    <t>Company 047</t>
  </si>
  <si>
    <t>Company 048</t>
  </si>
  <si>
    <t>Company 049</t>
  </si>
  <si>
    <t>Company 050</t>
  </si>
  <si>
    <t>Company 051</t>
  </si>
  <si>
    <t>Company 052</t>
  </si>
  <si>
    <t>Company 053</t>
  </si>
  <si>
    <t>Company 054</t>
  </si>
  <si>
    <t>Company 055</t>
  </si>
  <si>
    <t>Company 056</t>
  </si>
  <si>
    <t>Company 057</t>
  </si>
  <si>
    <t>Company 058</t>
  </si>
  <si>
    <t>Company 059</t>
  </si>
  <si>
    <t>Company 060</t>
  </si>
  <si>
    <t>Company 061</t>
  </si>
  <si>
    <t>Company 062</t>
  </si>
  <si>
    <t>Company 063</t>
  </si>
  <si>
    <t>Company 064</t>
  </si>
  <si>
    <t>Company 065</t>
  </si>
  <si>
    <t>Company 066</t>
  </si>
  <si>
    <t>Company 067</t>
  </si>
  <si>
    <t>Company 068</t>
  </si>
  <si>
    <t>Company 069</t>
  </si>
  <si>
    <t>Company 070</t>
  </si>
  <si>
    <t>Company 071</t>
  </si>
  <si>
    <t>Company 072</t>
  </si>
  <si>
    <t>Company 073</t>
  </si>
  <si>
    <t>Company 074</t>
  </si>
  <si>
    <t>Company 075</t>
  </si>
  <si>
    <t>Company 076</t>
  </si>
  <si>
    <t>Company 077</t>
  </si>
  <si>
    <t>Company 078</t>
  </si>
  <si>
    <t>Company 079</t>
  </si>
  <si>
    <t>Company 080</t>
  </si>
  <si>
    <t>Company 081</t>
  </si>
  <si>
    <t>Company 082</t>
  </si>
  <si>
    <t>Company 083</t>
  </si>
  <si>
    <t>Company 084</t>
  </si>
  <si>
    <t>Company 085</t>
  </si>
  <si>
    <t>Company 086</t>
  </si>
  <si>
    <t>Company 087</t>
  </si>
  <si>
    <t>Company 088</t>
  </si>
  <si>
    <t>Company 089</t>
  </si>
  <si>
    <t>Company 090</t>
  </si>
  <si>
    <t>Company 091</t>
  </si>
  <si>
    <t>Company 092</t>
  </si>
  <si>
    <t>Company 093</t>
  </si>
  <si>
    <t>Company 094</t>
  </si>
  <si>
    <t>Company 095</t>
  </si>
  <si>
    <t>Company 096</t>
  </si>
  <si>
    <t>Company 097</t>
  </si>
  <si>
    <t>Company 098</t>
  </si>
  <si>
    <t>Company 099</t>
  </si>
  <si>
    <t>Company 100</t>
  </si>
  <si>
    <t>Scope 1</t>
  </si>
  <si>
    <t>Scope 2</t>
  </si>
  <si>
    <t>Scope 3</t>
  </si>
  <si>
    <t>Energy (MWh)</t>
  </si>
  <si>
    <t>Renewable Energy %</t>
  </si>
  <si>
    <t>Water (m3)</t>
  </si>
  <si>
    <t>Waste (tons)</t>
  </si>
  <si>
    <t>Women Leadership %</t>
  </si>
  <si>
    <t>Female Employees %</t>
  </si>
  <si>
    <t>Training Hours</t>
  </si>
  <si>
    <t>Turnover %</t>
  </si>
  <si>
    <t>Safety Incidents</t>
  </si>
  <si>
    <t>Board Independence %</t>
  </si>
  <si>
    <t>ESG Committee</t>
  </si>
  <si>
    <t>Ethics Violations</t>
  </si>
  <si>
    <t>ESG Score</t>
  </si>
  <si>
    <t xml:space="preserve">Rank </t>
  </si>
  <si>
    <t>Top-quartile ESG performers</t>
  </si>
  <si>
    <t>75th percentile</t>
  </si>
  <si>
    <t>Renewable % (normalized)</t>
  </si>
  <si>
    <t>Women leadership % (normalized)</t>
  </si>
  <si>
    <t>ESG Score (normalized)</t>
  </si>
  <si>
    <t xml:space="preserve">Weighted composite ESG Score </t>
  </si>
  <si>
    <t>Yes</t>
  </si>
  <si>
    <t>5th Highest ESG score</t>
  </si>
  <si>
    <t>5th Lowest ESG score</t>
  </si>
  <si>
    <t>No</t>
  </si>
  <si>
    <t>Operating Profit</t>
  </si>
  <si>
    <t>Net Income</t>
  </si>
  <si>
    <t>Assets</t>
  </si>
  <si>
    <t>Liabilities</t>
  </si>
  <si>
    <t>Average of ESG Score</t>
  </si>
  <si>
    <t xml:space="preserve">Industry </t>
  </si>
  <si>
    <t>Renewable%</t>
  </si>
  <si>
    <t>Total companies</t>
  </si>
  <si>
    <t>Avg. ESG Score</t>
  </si>
  <si>
    <t>% of companies with an ESG committee</t>
  </si>
  <si>
    <t>Total scope 1+2+3 emissions across portfolio</t>
  </si>
  <si>
    <t>Revenue-weighted avg. ESG score</t>
  </si>
  <si>
    <t>Grand Total</t>
  </si>
  <si>
    <t xml:space="preserve">Scope 1 </t>
  </si>
  <si>
    <t xml:space="preserve">Scope 2 </t>
  </si>
  <si>
    <t xml:space="preserve">Scope 3 </t>
  </si>
  <si>
    <t xml:space="preserve">Count of Industry </t>
  </si>
  <si>
    <t>Renewable %</t>
  </si>
  <si>
    <t>ESG Risk Tier</t>
  </si>
  <si>
    <t xml:space="preserve">ESG Risk Tier (IFS) </t>
  </si>
  <si>
    <t>Scope 1 Emissions (Index/match)</t>
  </si>
  <si>
    <t>healthcare</t>
  </si>
  <si>
    <t>Data validation list (Prac)</t>
  </si>
  <si>
    <t>Scope 1 emissions based on Company ID and Year</t>
  </si>
  <si>
    <t>Average Revenue ($M)</t>
  </si>
  <si>
    <t>Number of companies</t>
  </si>
  <si>
    <t>Number of tech industries</t>
  </si>
  <si>
    <t>Number of companies in USA</t>
  </si>
  <si>
    <t>Total Revenue Weighted Average ESG score</t>
  </si>
  <si>
    <t xml:space="preserve">Total Revenue for Technology companies in USA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</si>
</sst>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quot;$&quot;#,##0.00"/>
    <numFmt numFmtId="165" formatCode="0.000000"/>
    <numFmt numFmtId="166" formatCode="0.0"/>
  </numFmts>
  <fonts count="10" x14ac:knownFonts="1">
    <font>
      <sz val="11"/>
      <color theme="1"/>
      <name val="Calibri"/>
      <family val="2"/>
      <scheme val="minor"/>
    </font>
    <font>
      <sz val="11"/>
      <color theme="1"/>
      <name val="Calibri"/>
      <family val="2"/>
      <scheme val="minor"/>
    </font>
    <font>
      <sz val="11"/>
      <color theme="1"/>
      <name val="Amasis MT Pro Light"/>
      <family val="1"/>
    </font>
    <font>
      <sz val="8"/>
      <name val="Calibri"/>
      <family val="2"/>
      <scheme val="minor"/>
    </font>
    <font>
      <b/>
      <sz val="11"/>
      <color theme="1"/>
      <name val="Amasis MT Pro Light"/>
      <family val="1"/>
    </font>
    <font>
      <b/>
      <sz val="11"/>
      <name val="Amasis MT Pro Light"/>
      <family val="1"/>
    </font>
    <font>
      <sz val="11"/>
      <color theme="0"/>
      <name val="Calibri"/>
      <family val="2"/>
      <scheme val="minor"/>
    </font>
    <font>
      <sz val="8"/>
      <color rgb="FF000000"/>
      <name val="Segoe UI"/>
      <family val="2"/>
    </font>
    <font>
      <sz val="11"/>
      <color theme="0" tint="-4.9989318521683403E-2"/>
      <name val="Calibri"/>
      <family val="2"/>
      <scheme val="minor"/>
    </font>
    <font>
      <b/>
      <sz val="11"/>
      <color theme="1"/>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2"/>
        <bgColor indexed="64"/>
      </patternFill>
    </fill>
    <fill>
      <patternFill patternType="solid">
        <fgColor theme="0"/>
        <bgColor indexed="64"/>
      </patternFill>
    </fill>
    <fill>
      <patternFill patternType="solid">
        <fgColor theme="0"/>
        <bgColor theme="0" tint="-0.14999847407452621"/>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9" tint="0.79998168889431442"/>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44" fontId="1" fillId="0" borderId="0" applyFont="0" applyFill="0" applyBorder="0" applyAlignment="0" applyProtection="0"/>
  </cellStyleXfs>
  <cellXfs count="49">
    <xf numFmtId="0" fontId="0" fillId="0" borderId="0" xfId="0"/>
    <xf numFmtId="44" fontId="0" fillId="0" borderId="0" xfId="1" applyFont="1"/>
    <xf numFmtId="164" fontId="0" fillId="0" borderId="0" xfId="0" applyNumberFormat="1"/>
    <xf numFmtId="2" fontId="0" fillId="0" borderId="0" xfId="0" applyNumberFormat="1"/>
    <xf numFmtId="0" fontId="0" fillId="2" borderId="0" xfId="0" applyFill="1"/>
    <xf numFmtId="0" fontId="0" fillId="2" borderId="0" xfId="0" applyFill="1" applyAlignment="1">
      <alignment horizontal="center" vertical="center"/>
    </xf>
    <xf numFmtId="0" fontId="2" fillId="0" borderId="0" xfId="0" applyFont="1"/>
    <xf numFmtId="0" fontId="4" fillId="0" borderId="2" xfId="0" applyFont="1" applyBorder="1" applyAlignment="1">
      <alignment horizontal="left"/>
    </xf>
    <xf numFmtId="0" fontId="2" fillId="0" borderId="2" xfId="0" applyFont="1" applyBorder="1" applyAlignment="1">
      <alignment horizontal="left"/>
    </xf>
    <xf numFmtId="0" fontId="4" fillId="4" borderId="2" xfId="0" applyFont="1" applyFill="1" applyBorder="1"/>
    <xf numFmtId="0" fontId="4" fillId="4" borderId="2" xfId="0" applyFont="1" applyFill="1" applyBorder="1" applyAlignment="1">
      <alignment horizontal="left"/>
    </xf>
    <xf numFmtId="0" fontId="4" fillId="0" borderId="2" xfId="0" applyFont="1" applyBorder="1"/>
    <xf numFmtId="0" fontId="2" fillId="0" borderId="2" xfId="0" applyFont="1" applyBorder="1" applyAlignment="1">
      <alignment horizontal="right"/>
    </xf>
    <xf numFmtId="0" fontId="4" fillId="4" borderId="2" xfId="0" applyFont="1" applyFill="1" applyBorder="1" applyAlignment="1">
      <alignment horizontal="right"/>
    </xf>
    <xf numFmtId="0" fontId="2" fillId="0" borderId="2" xfId="0" applyFont="1" applyBorder="1"/>
    <xf numFmtId="0" fontId="5" fillId="5" borderId="2" xfId="0" applyFont="1" applyFill="1" applyBorder="1" applyProtection="1">
      <protection locked="0"/>
    </xf>
    <xf numFmtId="0" fontId="2" fillId="3" borderId="2" xfId="0" applyFont="1" applyFill="1" applyBorder="1" applyProtection="1">
      <protection locked="0"/>
    </xf>
    <xf numFmtId="2" fontId="2" fillId="3" borderId="2" xfId="0" applyNumberFormat="1" applyFont="1" applyFill="1" applyBorder="1" applyProtection="1">
      <protection locked="0"/>
    </xf>
    <xf numFmtId="0" fontId="6" fillId="2" borderId="0" xfId="0" applyFont="1" applyFill="1"/>
    <xf numFmtId="0" fontId="8" fillId="2" borderId="0" xfId="0" applyFont="1" applyFill="1"/>
    <xf numFmtId="0" fontId="0" fillId="6" borderId="2" xfId="0" applyFill="1" applyBorder="1"/>
    <xf numFmtId="0" fontId="0" fillId="10" borderId="2" xfId="0" applyFill="1" applyBorder="1"/>
    <xf numFmtId="1" fontId="0" fillId="10" borderId="2" xfId="1" applyNumberFormat="1" applyFont="1" applyFill="1" applyBorder="1"/>
    <xf numFmtId="164" fontId="0" fillId="10" borderId="2" xfId="0" applyNumberFormat="1" applyFill="1" applyBorder="1"/>
    <xf numFmtId="165" fontId="0" fillId="10" borderId="2" xfId="0" applyNumberFormat="1" applyFill="1" applyBorder="1"/>
    <xf numFmtId="0" fontId="4" fillId="7" borderId="2" xfId="0" applyFont="1" applyFill="1" applyBorder="1"/>
    <xf numFmtId="0" fontId="2" fillId="8" borderId="2" xfId="0" applyFont="1" applyFill="1" applyBorder="1"/>
    <xf numFmtId="0" fontId="2" fillId="7" borderId="2" xfId="0" applyFont="1" applyFill="1" applyBorder="1"/>
    <xf numFmtId="0" fontId="9" fillId="9" borderId="2" xfId="0" applyFont="1" applyFill="1" applyBorder="1"/>
    <xf numFmtId="0" fontId="9" fillId="0" borderId="2" xfId="0" applyFont="1" applyBorder="1"/>
    <xf numFmtId="0" fontId="0" fillId="0" borderId="2" xfId="0" applyBorder="1"/>
    <xf numFmtId="1" fontId="0" fillId="0" borderId="2" xfId="0" applyNumberFormat="1" applyBorder="1"/>
    <xf numFmtId="164" fontId="0" fillId="0" borderId="2" xfId="0" applyNumberFormat="1" applyBorder="1"/>
    <xf numFmtId="0" fontId="0" fillId="0" borderId="0" xfId="0" applyAlignment="1">
      <alignment horizontal="left"/>
    </xf>
    <xf numFmtId="0" fontId="0" fillId="9" borderId="2" xfId="0" applyFill="1" applyBorder="1"/>
    <xf numFmtId="1" fontId="0" fillId="0" borderId="0" xfId="1" applyNumberFormat="1" applyFont="1" applyFill="1" applyBorder="1"/>
    <xf numFmtId="165" fontId="0" fillId="0" borderId="0" xfId="0" applyNumberFormat="1"/>
    <xf numFmtId="0" fontId="9" fillId="11" borderId="2" xfId="0" applyFont="1" applyFill="1" applyBorder="1"/>
    <xf numFmtId="1" fontId="0" fillId="12" borderId="2" xfId="1" applyNumberFormat="1" applyFont="1" applyFill="1" applyBorder="1"/>
    <xf numFmtId="0" fontId="0" fillId="12" borderId="2" xfId="0" applyFill="1" applyBorder="1"/>
    <xf numFmtId="2" fontId="0" fillId="10" borderId="2" xfId="0" applyNumberFormat="1" applyFill="1" applyBorder="1"/>
    <xf numFmtId="0" fontId="0" fillId="13" borderId="2" xfId="0" applyFill="1" applyBorder="1"/>
    <xf numFmtId="0" fontId="0" fillId="14" borderId="2" xfId="0" applyFill="1" applyBorder="1"/>
    <xf numFmtId="1" fontId="2" fillId="0" borderId="2" xfId="0" applyNumberFormat="1" applyFont="1" applyBorder="1"/>
    <xf numFmtId="0" fontId="2" fillId="0" borderId="1" xfId="0" applyFont="1" applyBorder="1" applyAlignment="1">
      <alignment vertical="center"/>
    </xf>
    <xf numFmtId="0" fontId="2" fillId="0" borderId="1" xfId="0" applyFont="1" applyBorder="1"/>
    <xf numFmtId="166" fontId="2" fillId="0" borderId="1" xfId="0" applyNumberFormat="1" applyFont="1" applyBorder="1"/>
    <xf numFmtId="0" fontId="2" fillId="0" borderId="2" xfId="0" applyNumberFormat="1" applyFont="1" applyBorder="1"/>
    <xf numFmtId="0" fontId="4" fillId="4" borderId="2" xfId="0" applyNumberFormat="1" applyFont="1" applyFill="1" applyBorder="1"/>
  </cellXfs>
  <cellStyles count="2">
    <cellStyle name="Currency" xfId="1" builtinId="4"/>
    <cellStyle name="Normal" xfId="0" builtinId="0"/>
  </cellStyles>
  <dxfs count="223">
    <dxf>
      <numFmt numFmtId="2" formatCode="0.00"/>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b/>
      </font>
    </dxf>
    <dxf>
      <font>
        <b/>
      </font>
    </dxf>
    <dxf>
      <font>
        <b/>
      </font>
    </dxf>
    <dxf>
      <font>
        <b/>
      </font>
    </dxf>
    <dxf>
      <font>
        <b/>
      </font>
    </dxf>
    <dxf>
      <font>
        <b/>
      </fon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9.9978637043366805E-2"/>
        </patternFill>
      </fill>
    </dxf>
    <dxf>
      <fill>
        <patternFill patternType="solid">
          <bgColor theme="2" tint="-9.9978637043366805E-2"/>
        </patternFill>
      </fill>
    </dxf>
    <dxf>
      <numFmt numFmtId="1" formatCode="0"/>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b/>
      </font>
    </dxf>
    <dxf>
      <font>
        <b/>
      </font>
    </dxf>
    <dxf>
      <font>
        <b/>
      </font>
    </dxf>
    <dxf>
      <font>
        <b/>
      </font>
    </dxf>
    <dxf>
      <font>
        <b/>
      </font>
    </dxf>
    <dxf>
      <font>
        <b/>
      </fon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bgColor theme="5" tint="0.39994506668294322"/>
        </patternFill>
      </fill>
    </dxf>
    <dxf>
      <font>
        <color rgb="FF9C0006"/>
      </font>
      <fill>
        <patternFill>
          <bgColor rgb="FFFFC7CE"/>
        </patternFill>
      </fill>
    </dxf>
    <dxf>
      <fill>
        <patternFill>
          <bgColor theme="5" tint="0.39994506668294322"/>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font>
        <b val="0"/>
        <i val="0"/>
        <name val="Amasis MT Pro Light"/>
      </font>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alignment vertical="center"/>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ill>
        <patternFill patternType="solid">
          <fgColor indexed="64"/>
          <bgColor theme="0" tint="-4.9989318521683403E-2"/>
        </patternFill>
      </fill>
    </dxf>
    <dxf>
      <font>
        <name val="Amasis MT Pro"/>
      </font>
    </dxf>
    <dxf>
      <font>
        <name val="Amasis MT Pro"/>
      </font>
    </dxf>
    <dxf>
      <font>
        <name val="Amasis MT Pro"/>
      </font>
    </dxf>
    <dxf>
      <font>
        <name val="Amasis MT Pro"/>
      </font>
    </dxf>
    <dxf>
      <font>
        <name val="Amasis MT Pro"/>
      </font>
    </dxf>
    <dxf>
      <font>
        <name val="Amasis MT Pro"/>
      </font>
    </dxf>
    <dxf>
      <font>
        <name val="Amasis MT Pro"/>
      </font>
    </dxf>
    <dxf>
      <font>
        <name val="Amasis MT Pro"/>
      </font>
    </dxf>
    <dxf>
      <font>
        <name val="Amasis MT Pro"/>
      </font>
    </dxf>
    <dxf>
      <numFmt numFmtId="166" formatCode="0.0"/>
    </dxf>
    <dxf>
      <numFmt numFmtId="2" formatCode="0.00"/>
    </dxf>
    <dxf>
      <numFmt numFmtId="2" formatCode="0.00"/>
    </dxf>
    <dxf>
      <numFmt numFmtId="2" formatCode="0.00"/>
    </dxf>
    <dxf>
      <numFmt numFmtId="2" formatCode="0.00"/>
    </dxf>
    <dxf>
      <fill>
        <patternFill>
          <bgColor rgb="FFFFC7CE"/>
        </patternFill>
      </fill>
    </dxf>
    <dxf>
      <alignment horizontal="left" vertical="bottom" textRotation="0" wrapText="0" indent="0" justifyLastLine="0" shrinkToFit="0" readingOrder="0"/>
    </dxf>
    <dxf>
      <font>
        <strike val="0"/>
        <outline val="0"/>
        <shadow val="0"/>
        <u val="none"/>
        <vertAlign val="baseline"/>
        <sz val="11"/>
        <color theme="1"/>
        <name val="Amasis MT Pro Light"/>
        <family val="1"/>
        <scheme val="none"/>
      </font>
      <numFmt numFmtId="0" formatCode="General"/>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ont>
        <strike val="0"/>
        <outline val="0"/>
        <shadow val="0"/>
        <u val="none"/>
        <vertAlign val="baseline"/>
        <sz val="11"/>
        <color theme="1"/>
        <name val="Amasis MT Pro Light"/>
        <family val="1"/>
        <scheme val="none"/>
      </font>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font>
        <b/>
      </font>
    </dxf>
    <dxf>
      <font>
        <b/>
      </font>
    </dxf>
    <dxf>
      <font>
        <b/>
      </font>
    </dxf>
    <dxf>
      <font>
        <b/>
      </font>
    </dxf>
    <dxf>
      <font>
        <b/>
      </font>
    </dxf>
    <dxf>
      <font>
        <b/>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numFmt numFmtId="1" formatCode="0"/>
    </dxf>
    <dxf>
      <fill>
        <patternFill patternType="solid">
          <bgColor theme="2" tint="-9.9978637043366805E-2"/>
        </patternFill>
      </fill>
    </dxf>
    <dxf>
      <fill>
        <patternFill patternType="solid">
          <bgColor theme="2" tint="-9.9978637043366805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font>
        <b/>
      </font>
    </dxf>
    <dxf>
      <font>
        <b/>
      </font>
    </dxf>
    <dxf>
      <font>
        <b/>
      </font>
    </dxf>
    <dxf>
      <font>
        <b/>
      </font>
    </dxf>
    <dxf>
      <font>
        <b/>
      </font>
    </dxf>
    <dxf>
      <font>
        <b/>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numFmt numFmtId="2" formatCode="0.00"/>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font>
        <b val="0"/>
      </font>
    </dxf>
    <dxf>
      <font>
        <b/>
      </font>
    </dxf>
    <dxf>
      <font>
        <b/>
      </font>
    </dxf>
    <dxf>
      <font>
        <b/>
      </font>
    </dxf>
    <dxf>
      <font>
        <b/>
      </font>
    </dxf>
    <dxf>
      <font>
        <b/>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font>
        <name val="Amasis MT Pro Light"/>
        <family val="1"/>
        <scheme val="none"/>
      </font>
    </dxf>
    <dxf>
      <border>
        <left style="thin">
          <color auto="1"/>
        </left>
        <right style="thin">
          <color auto="1"/>
        </right>
        <top style="thin">
          <color auto="1"/>
        </top>
        <bottom style="thin">
          <color auto="1"/>
        </bottom>
      </border>
    </dxf>
    <dxf>
      <fill>
        <patternFill>
          <bgColor theme="2"/>
        </patternFill>
      </fill>
      <border>
        <left style="thin">
          <color auto="1"/>
        </left>
        <right style="thin">
          <color auto="1"/>
        </right>
        <top style="thin">
          <color auto="1"/>
        </top>
        <bottom style="thin">
          <color auto="1"/>
        </bottom>
      </border>
    </dxf>
  </dxfs>
  <tableStyles count="2" defaultTableStyle="TableStyleMedium9" defaultPivotStyle="PivotStyleLight16">
    <tableStyle name="Slicer Style 1" pivot="0" table="0" count="4" xr9:uid="{0FF14508-8B4F-4F76-86F4-8A33CE789643}">
      <tableStyleElement type="wholeTable" dxfId="222"/>
    </tableStyle>
    <tableStyle name="Slicer Style 2" pivot="0" table="0" count="3" xr9:uid="{07A3834E-B419-48E9-8FAF-DDB7EDD08620}">
      <tableStyleElement type="wholeTable" dxfId="221"/>
    </tableStyle>
  </tableStyles>
  <extLst>
    <ext xmlns:x14="http://schemas.microsoft.com/office/spreadsheetml/2009/9/main" uri="{46F421CA-312F-682f-3DD2-61675219B42D}">
      <x14:dxfs count="5">
        <dxf>
          <font>
            <b/>
            <i val="0"/>
            <sz val="12"/>
            <color theme="1"/>
            <name val="Amasis MT Pro Light"/>
            <family val="1"/>
            <scheme val="none"/>
          </font>
          <fill>
            <patternFill>
              <bgColor theme="8"/>
            </patternFill>
          </fill>
        </dxf>
        <dxf>
          <font>
            <b/>
            <i val="0"/>
            <sz val="12"/>
            <color theme="1"/>
            <name val="Amasis MT Pro Light"/>
            <family val="1"/>
            <scheme val="none"/>
          </font>
          <fill>
            <patternFill>
              <bgColor theme="8" tint="0.59996337778862885"/>
            </patternFill>
          </fill>
        </dxf>
        <dxf>
          <font>
            <b/>
            <i val="0"/>
            <sz val="9"/>
            <name val="Amasis MT Pro Light"/>
            <family val="1"/>
            <scheme val="none"/>
          </font>
          <fill>
            <patternFill>
              <bgColor theme="2" tint="-9.9948118533890809E-2"/>
            </patternFill>
          </fill>
        </dxf>
        <dxf>
          <font>
            <b/>
            <i val="0"/>
            <sz val="9"/>
            <name val="Amasis MT Pro Light"/>
            <family val="1"/>
            <scheme val="none"/>
          </font>
          <fill>
            <patternFill>
              <bgColor theme="2" tint="-0.24994659260841701"/>
            </patternFill>
          </fill>
        </dxf>
        <dxf>
          <font>
            <b/>
            <i val="0"/>
            <sz val="9"/>
            <name val="Amasis MT Pro Light"/>
            <family val="1"/>
            <scheme val="none"/>
          </font>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SelectedItemWithData" dxfId="2"/>
          </x14:slicerStyleElements>
        </x14:slicerStyle>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[Fictional_ESG_Dataset_100_Companies_DP - Copy.xlsm]Pivot_Tab_Prac!PivotTable1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504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BBB5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8064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BA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7964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751071820165125E-2"/>
          <c:y val="4.6075953041040806E-2"/>
          <c:w val="0.96713790564956326"/>
          <c:h val="0.79386913536283343"/>
        </c:manualLayout>
      </c:layout>
      <c:barChart>
        <c:barDir val="col"/>
        <c:grouping val="clustered"/>
        <c:varyColors val="0"/>
        <c:ser>
          <c:idx val="0"/>
          <c:order val="0"/>
          <c:tx>
            <c:strRef>
              <c:f>Pivot_Tab_Prac!$B$2:$B$3</c:f>
              <c:strCache>
                <c:ptCount val="1"/>
                <c:pt idx="0">
                  <c:v>Energy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Pivot_Tab_Prac!$B$4:$B$9</c:f>
              <c:numCache>
                <c:formatCode>0.0</c:formatCode>
                <c:ptCount val="6"/>
                <c:pt idx="0">
                  <c:v>75.25</c:v>
                </c:pt>
                <c:pt idx="1">
                  <c:v>44</c:v>
                </c:pt>
                <c:pt idx="2">
                  <c:v>60.5</c:v>
                </c:pt>
                <c:pt idx="3">
                  <c:v>45.333333333333336</c:v>
                </c:pt>
                <c:pt idx="4">
                  <c:v>62</c:v>
                </c:pt>
                <c:pt idx="5">
                  <c:v>55</c:v>
                </c:pt>
              </c:numCache>
            </c:numRef>
          </c:val>
          <c:extLst>
            <c:ext xmlns:c16="http://schemas.microsoft.com/office/drawing/2014/chart" uri="{C3380CC4-5D6E-409C-BE32-E72D297353CC}">
              <c16:uniqueId val="{00000003-7DA0-4495-AB28-CDE264CFEBFF}"/>
            </c:ext>
          </c:extLst>
        </c:ser>
        <c:ser>
          <c:idx val="1"/>
          <c:order val="1"/>
          <c:tx>
            <c:strRef>
              <c:f>Pivot_Tab_Prac!$C$2:$C$3</c:f>
              <c:strCache>
                <c:ptCount val="1"/>
                <c:pt idx="0">
                  <c:v>Finance</c:v>
                </c:pt>
              </c:strCache>
            </c:strRef>
          </c:tx>
          <c:spPr>
            <a:solidFill>
              <a:srgbClr val="C0504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Pivot_Tab_Prac!$C$4:$C$9</c:f>
              <c:numCache>
                <c:formatCode>0.0</c:formatCode>
                <c:ptCount val="6"/>
                <c:pt idx="0">
                  <c:v>58</c:v>
                </c:pt>
                <c:pt idx="1">
                  <c:v>70.2</c:v>
                </c:pt>
                <c:pt idx="2">
                  <c:v>58.2</c:v>
                </c:pt>
                <c:pt idx="3">
                  <c:v>65.333333333333329</c:v>
                </c:pt>
                <c:pt idx="4">
                  <c:v>78.5</c:v>
                </c:pt>
                <c:pt idx="5">
                  <c:v>67</c:v>
                </c:pt>
              </c:numCache>
            </c:numRef>
          </c:val>
          <c:extLst>
            <c:ext xmlns:c16="http://schemas.microsoft.com/office/drawing/2014/chart" uri="{C3380CC4-5D6E-409C-BE32-E72D297353CC}">
              <c16:uniqueId val="{00000002-15DE-488A-9C11-932B64C3269E}"/>
            </c:ext>
          </c:extLst>
        </c:ser>
        <c:ser>
          <c:idx val="2"/>
          <c:order val="2"/>
          <c:tx>
            <c:strRef>
              <c:f>Pivot_Tab_Prac!$D$2:$D$3</c:f>
              <c:strCache>
                <c:ptCount val="1"/>
                <c:pt idx="0">
                  <c:v>Healthcare</c:v>
                </c:pt>
              </c:strCache>
            </c:strRef>
          </c:tx>
          <c:spPr>
            <a:solidFill>
              <a:srgbClr val="9BBB5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Pivot_Tab_Prac!$D$4:$D$9</c:f>
              <c:numCache>
                <c:formatCode>0.0</c:formatCode>
                <c:ptCount val="6"/>
                <c:pt idx="0">
                  <c:v>57.333333333333336</c:v>
                </c:pt>
                <c:pt idx="1">
                  <c:v>77.666666666666671</c:v>
                </c:pt>
                <c:pt idx="2">
                  <c:v>64</c:v>
                </c:pt>
                <c:pt idx="3">
                  <c:v>63.333333333333336</c:v>
                </c:pt>
                <c:pt idx="4">
                  <c:v>63</c:v>
                </c:pt>
                <c:pt idx="5">
                  <c:v>91.5</c:v>
                </c:pt>
              </c:numCache>
            </c:numRef>
          </c:val>
          <c:extLst>
            <c:ext xmlns:c16="http://schemas.microsoft.com/office/drawing/2014/chart" uri="{C3380CC4-5D6E-409C-BE32-E72D297353CC}">
              <c16:uniqueId val="{00000003-15DE-488A-9C11-932B64C3269E}"/>
            </c:ext>
          </c:extLst>
        </c:ser>
        <c:ser>
          <c:idx val="3"/>
          <c:order val="3"/>
          <c:tx>
            <c:strRef>
              <c:f>Pivot_Tab_Prac!$E$2:$E$3</c:f>
              <c:strCache>
                <c:ptCount val="1"/>
                <c:pt idx="0">
                  <c:v>Manufacturing</c:v>
                </c:pt>
              </c:strCache>
            </c:strRef>
          </c:tx>
          <c:spPr>
            <a:solidFill>
              <a:srgbClr val="8064A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Pivot_Tab_Prac!$E$4:$E$9</c:f>
              <c:numCache>
                <c:formatCode>0.0</c:formatCode>
                <c:ptCount val="6"/>
                <c:pt idx="0">
                  <c:v>75.25</c:v>
                </c:pt>
                <c:pt idx="1">
                  <c:v>71</c:v>
                </c:pt>
                <c:pt idx="2">
                  <c:v>69</c:v>
                </c:pt>
                <c:pt idx="3">
                  <c:v>61.5</c:v>
                </c:pt>
                <c:pt idx="4">
                  <c:v>65</c:v>
                </c:pt>
                <c:pt idx="5">
                  <c:v>63.714285714285715</c:v>
                </c:pt>
              </c:numCache>
            </c:numRef>
          </c:val>
          <c:extLst>
            <c:ext xmlns:c16="http://schemas.microsoft.com/office/drawing/2014/chart" uri="{C3380CC4-5D6E-409C-BE32-E72D297353CC}">
              <c16:uniqueId val="{00000004-15DE-488A-9C11-932B64C3269E}"/>
            </c:ext>
          </c:extLst>
        </c:ser>
        <c:ser>
          <c:idx val="4"/>
          <c:order val="4"/>
          <c:tx>
            <c:strRef>
              <c:f>Pivot_Tab_Prac!$F$2:$F$3</c:f>
              <c:strCache>
                <c:ptCount val="1"/>
                <c:pt idx="0">
                  <c:v>Retail</c:v>
                </c:pt>
              </c:strCache>
            </c:strRef>
          </c:tx>
          <c:spPr>
            <a:solidFill>
              <a:srgbClr val="4BAC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Pivot_Tab_Prac!$F$4:$F$9</c:f>
              <c:numCache>
                <c:formatCode>0.0</c:formatCode>
                <c:ptCount val="6"/>
                <c:pt idx="0">
                  <c:v>70</c:v>
                </c:pt>
                <c:pt idx="1">
                  <c:v>65.333333333333329</c:v>
                </c:pt>
                <c:pt idx="2">
                  <c:v>62.5</c:v>
                </c:pt>
                <c:pt idx="3">
                  <c:v>79</c:v>
                </c:pt>
                <c:pt idx="4">
                  <c:v>47</c:v>
                </c:pt>
                <c:pt idx="5">
                  <c:v>67.8</c:v>
                </c:pt>
              </c:numCache>
            </c:numRef>
          </c:val>
          <c:extLst>
            <c:ext xmlns:c16="http://schemas.microsoft.com/office/drawing/2014/chart" uri="{C3380CC4-5D6E-409C-BE32-E72D297353CC}">
              <c16:uniqueId val="{00000005-15DE-488A-9C11-932B64C3269E}"/>
            </c:ext>
          </c:extLst>
        </c:ser>
        <c:ser>
          <c:idx val="5"/>
          <c:order val="5"/>
          <c:tx>
            <c:strRef>
              <c:f>Pivot_Tab_Prac!$G$2:$G$3</c:f>
              <c:strCache>
                <c:ptCount val="1"/>
                <c:pt idx="0">
                  <c:v>Technology</c:v>
                </c:pt>
              </c:strCache>
            </c:strRef>
          </c:tx>
          <c:spPr>
            <a:solidFill>
              <a:srgbClr val="F7964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masis MT Pro Light"/>
                    <a:ea typeface="Amasis MT Pro Light"/>
                    <a:cs typeface="Amasis MT Pro Ligh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Pivot_Tab_Prac!$A$4:$A$9</c:f>
              <c:strCache>
                <c:ptCount val="6"/>
                <c:pt idx="0">
                  <c:v>Australia</c:v>
                </c:pt>
                <c:pt idx="1">
                  <c:v>Canada</c:v>
                </c:pt>
                <c:pt idx="2">
                  <c:v>Germany</c:v>
                </c:pt>
                <c:pt idx="3">
                  <c:v>Japan</c:v>
                </c:pt>
                <c:pt idx="4">
                  <c:v>UK</c:v>
                </c:pt>
                <c:pt idx="5">
                  <c:v>USA</c:v>
                </c:pt>
              </c:strCache>
            </c:strRef>
          </c:cat>
          <c:val>
            <c:numRef>
              <c:f>Pivot_Tab_Prac!$G$4:$G$9</c:f>
              <c:numCache>
                <c:formatCode>0.0</c:formatCode>
                <c:ptCount val="6"/>
                <c:pt idx="0">
                  <c:v>79</c:v>
                </c:pt>
                <c:pt idx="1">
                  <c:v>64.333333333333329</c:v>
                </c:pt>
                <c:pt idx="2">
                  <c:v>64.333333333333329</c:v>
                </c:pt>
                <c:pt idx="3">
                  <c:v>61.5</c:v>
                </c:pt>
                <c:pt idx="4">
                  <c:v>52.333333333333336</c:v>
                </c:pt>
                <c:pt idx="5">
                  <c:v>36</c:v>
                </c:pt>
              </c:numCache>
            </c:numRef>
          </c:val>
          <c:extLst>
            <c:ext xmlns:c16="http://schemas.microsoft.com/office/drawing/2014/chart" uri="{C3380CC4-5D6E-409C-BE32-E72D297353CC}">
              <c16:uniqueId val="{00000006-15DE-488A-9C11-932B64C3269E}"/>
            </c:ext>
          </c:extLst>
        </c:ser>
        <c:dLbls>
          <c:showLegendKey val="0"/>
          <c:showVal val="0"/>
          <c:showCatName val="0"/>
          <c:showSerName val="0"/>
          <c:showPercent val="0"/>
          <c:showBubbleSize val="0"/>
        </c:dLbls>
        <c:gapWidth val="220"/>
        <c:overlap val="-30"/>
        <c:axId val="659841031"/>
        <c:axId val="659843591"/>
      </c:barChart>
      <c:catAx>
        <c:axId val="659841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masis MT Pro Light"/>
                <a:ea typeface="Amasis MT Pro Light"/>
                <a:cs typeface="Amasis MT Pro Light"/>
              </a:defRPr>
            </a:pPr>
            <a:endParaRPr lang="en-US"/>
          </a:p>
        </c:txPr>
        <c:crossAx val="659843591"/>
        <c:crosses val="autoZero"/>
        <c:auto val="1"/>
        <c:lblAlgn val="ctr"/>
        <c:lblOffset val="100"/>
        <c:noMultiLvlLbl val="0"/>
      </c:catAx>
      <c:valAx>
        <c:axId val="659843591"/>
        <c:scaling>
          <c:orientation val="minMax"/>
        </c:scaling>
        <c:delete val="1"/>
        <c:axPos val="l"/>
        <c:numFmt formatCode="0.0" sourceLinked="1"/>
        <c:majorTickMark val="none"/>
        <c:minorTickMark val="none"/>
        <c:tickLblPos val="nextTo"/>
        <c:crossAx val="6598410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masis MT Pro Light"/>
              <a:ea typeface="Amasis MT Pro Light"/>
              <a:cs typeface="Amasis MT Pro Light"/>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[Fictional_ESG_Dataset_100_Companies_DP - Copy.xlsm]Master_Dashboard!PivotTable4</c:name>
    <c:fmtId val="0"/>
  </c:pivotSource>
  <c:chart>
    <c:autoTitleDeleted val="1"/>
    <c:pivotFmts>
      <c:pivotFmt>
        <c:idx val="0"/>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75000"/>
            </a:schemeClr>
          </a:solidFill>
          <a:ln>
            <a:noFill/>
          </a:ln>
          <a:effectLst/>
        </c:spP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Master_Dashboard!$O$28</c:f>
              <c:strCache>
                <c:ptCount val="1"/>
                <c:pt idx="0">
                  <c:v>Total</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Master_Dashboard!$N$29:$N$34</c:f>
              <c:strCache>
                <c:ptCount val="6"/>
                <c:pt idx="0">
                  <c:v>Energy</c:v>
                </c:pt>
                <c:pt idx="1">
                  <c:v>Finance</c:v>
                </c:pt>
                <c:pt idx="2">
                  <c:v>Healthcare</c:v>
                </c:pt>
                <c:pt idx="3">
                  <c:v>Manufacturing</c:v>
                </c:pt>
                <c:pt idx="4">
                  <c:v>Retail</c:v>
                </c:pt>
                <c:pt idx="5">
                  <c:v>Technology</c:v>
                </c:pt>
              </c:strCache>
            </c:strRef>
          </c:cat>
          <c:val>
            <c:numRef>
              <c:f>Master_Dashboard!$O$29:$O$34</c:f>
              <c:numCache>
                <c:formatCode>0</c:formatCode>
                <c:ptCount val="6"/>
                <c:pt idx="0">
                  <c:v>60</c:v>
                </c:pt>
                <c:pt idx="1">
                  <c:v>66.05</c:v>
                </c:pt>
                <c:pt idx="2">
                  <c:v>68.375</c:v>
                </c:pt>
                <c:pt idx="3">
                  <c:v>67.409090909090907</c:v>
                </c:pt>
                <c:pt idx="4">
                  <c:v>66.785714285714292</c:v>
                </c:pt>
                <c:pt idx="5">
                  <c:v>61.428571428571431</c:v>
                </c:pt>
              </c:numCache>
            </c:numRef>
          </c:val>
          <c:extLst>
            <c:ext xmlns:c16="http://schemas.microsoft.com/office/drawing/2014/chart" uri="{C3380CC4-5D6E-409C-BE32-E72D297353CC}">
              <c16:uniqueId val="{00000000-5125-49DA-9E29-5622F9A0203C}"/>
            </c:ext>
          </c:extLst>
        </c:ser>
        <c:dLbls>
          <c:dLblPos val="outEnd"/>
          <c:showLegendKey val="0"/>
          <c:showVal val="1"/>
          <c:showCatName val="0"/>
          <c:showSerName val="0"/>
          <c:showPercent val="0"/>
          <c:showBubbleSize val="0"/>
        </c:dLbls>
        <c:gapWidth val="182"/>
        <c:axId val="2092110256"/>
        <c:axId val="2092110736"/>
      </c:barChart>
      <c:catAx>
        <c:axId val="20921102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masis MT Pro Light" panose="02040304050005020304" pitchFamily="18" charset="0"/>
                <a:ea typeface="+mn-ea"/>
                <a:cs typeface="+mn-cs"/>
              </a:defRPr>
            </a:pPr>
            <a:endParaRPr lang="en-US"/>
          </a:p>
        </c:txPr>
        <c:crossAx val="2092110736"/>
        <c:crosses val="autoZero"/>
        <c:auto val="1"/>
        <c:lblAlgn val="ctr"/>
        <c:lblOffset val="100"/>
        <c:noMultiLvlLbl val="0"/>
      </c:catAx>
      <c:valAx>
        <c:axId val="2092110736"/>
        <c:scaling>
          <c:orientation val="minMax"/>
        </c:scaling>
        <c:delete val="1"/>
        <c:axPos val="b"/>
        <c:numFmt formatCode="0" sourceLinked="1"/>
        <c:majorTickMark val="out"/>
        <c:minorTickMark val="none"/>
        <c:tickLblPos val="nextTo"/>
        <c:crossAx val="2092110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[Fictional_ESG_Dataset_100_Companies_DP - Copy.xlsm]Master_Dashboard!PivotTable6</c:name>
    <c:fmtId val="4"/>
  </c:pivotSource>
  <c:chart>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a:noFill/>
          </a:ln>
          <a:effectLst/>
        </c:spPr>
      </c:pivotFmt>
      <c:pivotFmt>
        <c:idx val="4"/>
        <c:spPr>
          <a:solidFill>
            <a:schemeClr val="accent2">
              <a:lumMod val="60000"/>
              <a:lumOff val="40000"/>
            </a:schemeClr>
          </a:solidFill>
          <a:ln>
            <a:noFill/>
          </a:ln>
          <a:effectLst/>
        </c:spPr>
        <c:dLbl>
          <c:idx val="0"/>
          <c:layout>
            <c:manualLayout>
              <c:x val="0"/>
              <c:y val="-8.8988385912476612E-5"/>
            </c:manualLayout>
          </c:layout>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dLbl>
          <c:idx val="0"/>
          <c:layout>
            <c:manualLayout>
              <c:x val="0"/>
              <c:y val="-4.6700516573903016E-3"/>
            </c:manualLayout>
          </c:layout>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Master_Dashboard!$S$27</c:f>
              <c:strCache>
                <c:ptCount val="1"/>
                <c:pt idx="0">
                  <c:v>Scope 1 </c:v>
                </c:pt>
              </c:strCache>
            </c:strRef>
          </c:tx>
          <c:spPr>
            <a:solidFill>
              <a:schemeClr val="accent1">
                <a:lumMod val="60000"/>
                <a:lumOff val="40000"/>
              </a:schemeClr>
            </a:solidFill>
            <a:ln>
              <a:noFill/>
            </a:ln>
            <a:effectLst/>
          </c:spPr>
          <c:invertIfNegative val="0"/>
          <c:dPt>
            <c:idx val="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6-7E38-47C7-83F6-7D72C6B051ED}"/>
              </c:ext>
            </c:extLst>
          </c:dPt>
          <c:dLbls>
            <c:dLbl>
              <c:idx val="4"/>
              <c:layout>
                <c:manualLayout>
                  <c:x val="0"/>
                  <c:y val="-4.6700516573903016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E38-47C7-83F6-7D72C6B051ED}"/>
                </c:ext>
              </c:extLst>
            </c:dLbl>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Master_Dashboard!$R$28:$R$34</c:f>
              <c:strCache>
                <c:ptCount val="6"/>
                <c:pt idx="0">
                  <c:v>Energy</c:v>
                </c:pt>
                <c:pt idx="1">
                  <c:v>Finance</c:v>
                </c:pt>
                <c:pt idx="2">
                  <c:v>Healthcare</c:v>
                </c:pt>
                <c:pt idx="3">
                  <c:v>Manufacturing</c:v>
                </c:pt>
                <c:pt idx="4">
                  <c:v>Retail</c:v>
                </c:pt>
                <c:pt idx="5">
                  <c:v>Technology</c:v>
                </c:pt>
              </c:strCache>
            </c:strRef>
          </c:cat>
          <c:val>
            <c:numRef>
              <c:f>Master_Dashboard!$S$28:$S$34</c:f>
              <c:numCache>
                <c:formatCode>General</c:formatCode>
                <c:ptCount val="6"/>
                <c:pt idx="0">
                  <c:v>47209</c:v>
                </c:pt>
                <c:pt idx="1">
                  <c:v>80776</c:v>
                </c:pt>
                <c:pt idx="2">
                  <c:v>51677</c:v>
                </c:pt>
                <c:pt idx="3">
                  <c:v>82532</c:v>
                </c:pt>
                <c:pt idx="4">
                  <c:v>53030</c:v>
                </c:pt>
                <c:pt idx="5">
                  <c:v>73996</c:v>
                </c:pt>
              </c:numCache>
            </c:numRef>
          </c:val>
          <c:extLst>
            <c:ext xmlns:c16="http://schemas.microsoft.com/office/drawing/2014/chart" uri="{C3380CC4-5D6E-409C-BE32-E72D297353CC}">
              <c16:uniqueId val="{00000000-7E38-47C7-83F6-7D72C6B051ED}"/>
            </c:ext>
          </c:extLst>
        </c:ser>
        <c:ser>
          <c:idx val="1"/>
          <c:order val="1"/>
          <c:tx>
            <c:strRef>
              <c:f>Master_Dashboard!$T$27</c:f>
              <c:strCache>
                <c:ptCount val="1"/>
                <c:pt idx="0">
                  <c:v>Scope 2 </c:v>
                </c:pt>
              </c:strCache>
            </c:strRef>
          </c:tx>
          <c:spPr>
            <a:solidFill>
              <a:schemeClr val="accent2">
                <a:lumMod val="60000"/>
                <a:lumOff val="40000"/>
              </a:schemeClr>
            </a:solidFill>
            <a:ln>
              <a:noFill/>
            </a:ln>
            <a:effectLst/>
          </c:spPr>
          <c:invertIfNegative val="0"/>
          <c:dPt>
            <c:idx val="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7E38-47C7-83F6-7D72C6B051ED}"/>
              </c:ext>
            </c:extLst>
          </c:dPt>
          <c:dLbls>
            <c:dLbl>
              <c:idx val="3"/>
              <c:layout>
                <c:manualLayout>
                  <c:x val="0"/>
                  <c:y val="-8.8988385912476612E-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E38-47C7-83F6-7D72C6B051ED}"/>
                </c:ext>
              </c:extLst>
            </c:dLbl>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Master_Dashboard!$R$28:$R$34</c:f>
              <c:strCache>
                <c:ptCount val="6"/>
                <c:pt idx="0">
                  <c:v>Energy</c:v>
                </c:pt>
                <c:pt idx="1">
                  <c:v>Finance</c:v>
                </c:pt>
                <c:pt idx="2">
                  <c:v>Healthcare</c:v>
                </c:pt>
                <c:pt idx="3">
                  <c:v>Manufacturing</c:v>
                </c:pt>
                <c:pt idx="4">
                  <c:v>Retail</c:v>
                </c:pt>
                <c:pt idx="5">
                  <c:v>Technology</c:v>
                </c:pt>
              </c:strCache>
            </c:strRef>
          </c:cat>
          <c:val>
            <c:numRef>
              <c:f>Master_Dashboard!$T$28:$T$34</c:f>
              <c:numCache>
                <c:formatCode>General</c:formatCode>
                <c:ptCount val="6"/>
                <c:pt idx="0">
                  <c:v>34793</c:v>
                </c:pt>
                <c:pt idx="1">
                  <c:v>62458</c:v>
                </c:pt>
                <c:pt idx="2">
                  <c:v>39507</c:v>
                </c:pt>
                <c:pt idx="3">
                  <c:v>55013</c:v>
                </c:pt>
                <c:pt idx="4">
                  <c:v>40773</c:v>
                </c:pt>
                <c:pt idx="5">
                  <c:v>38832</c:v>
                </c:pt>
              </c:numCache>
            </c:numRef>
          </c:val>
          <c:extLst>
            <c:ext xmlns:c16="http://schemas.microsoft.com/office/drawing/2014/chart" uri="{C3380CC4-5D6E-409C-BE32-E72D297353CC}">
              <c16:uniqueId val="{00000001-7E38-47C7-83F6-7D72C6B051ED}"/>
            </c:ext>
          </c:extLst>
        </c:ser>
        <c:ser>
          <c:idx val="2"/>
          <c:order val="2"/>
          <c:tx>
            <c:strRef>
              <c:f>Master_Dashboard!$U$27</c:f>
              <c:strCache>
                <c:ptCount val="1"/>
                <c:pt idx="0">
                  <c:v>Scope 3 </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8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Master_Dashboard!$R$28:$R$34</c:f>
              <c:strCache>
                <c:ptCount val="6"/>
                <c:pt idx="0">
                  <c:v>Energy</c:v>
                </c:pt>
                <c:pt idx="1">
                  <c:v>Finance</c:v>
                </c:pt>
                <c:pt idx="2">
                  <c:v>Healthcare</c:v>
                </c:pt>
                <c:pt idx="3">
                  <c:v>Manufacturing</c:v>
                </c:pt>
                <c:pt idx="4">
                  <c:v>Retail</c:v>
                </c:pt>
                <c:pt idx="5">
                  <c:v>Technology</c:v>
                </c:pt>
              </c:strCache>
            </c:strRef>
          </c:cat>
          <c:val>
            <c:numRef>
              <c:f>Master_Dashboard!$U$28:$U$34</c:f>
              <c:numCache>
                <c:formatCode>General</c:formatCode>
                <c:ptCount val="6"/>
                <c:pt idx="0">
                  <c:v>409408</c:v>
                </c:pt>
                <c:pt idx="1">
                  <c:v>467930</c:v>
                </c:pt>
                <c:pt idx="2">
                  <c:v>487358</c:v>
                </c:pt>
                <c:pt idx="3">
                  <c:v>645940</c:v>
                </c:pt>
                <c:pt idx="4">
                  <c:v>355936</c:v>
                </c:pt>
                <c:pt idx="5">
                  <c:v>343452</c:v>
                </c:pt>
              </c:numCache>
            </c:numRef>
          </c:val>
          <c:extLst>
            <c:ext xmlns:c16="http://schemas.microsoft.com/office/drawing/2014/chart" uri="{C3380CC4-5D6E-409C-BE32-E72D297353CC}">
              <c16:uniqueId val="{00000002-7E38-47C7-83F6-7D72C6B051ED}"/>
            </c:ext>
          </c:extLst>
        </c:ser>
        <c:dLbls>
          <c:dLblPos val="ctr"/>
          <c:showLegendKey val="0"/>
          <c:showVal val="1"/>
          <c:showCatName val="0"/>
          <c:showSerName val="0"/>
          <c:showPercent val="0"/>
          <c:showBubbleSize val="0"/>
        </c:dLbls>
        <c:gapWidth val="140"/>
        <c:overlap val="100"/>
        <c:axId val="2042220512"/>
        <c:axId val="2042211872"/>
      </c:barChart>
      <c:catAx>
        <c:axId val="2042220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masis MT Pro Light" panose="02040304050005020304" pitchFamily="18" charset="0"/>
                <a:ea typeface="+mn-ea"/>
                <a:cs typeface="+mn-cs"/>
              </a:defRPr>
            </a:pPr>
            <a:endParaRPr lang="en-US"/>
          </a:p>
        </c:txPr>
        <c:crossAx val="2042211872"/>
        <c:crosses val="autoZero"/>
        <c:auto val="1"/>
        <c:lblAlgn val="ctr"/>
        <c:lblOffset val="100"/>
        <c:noMultiLvlLbl val="0"/>
      </c:catAx>
      <c:valAx>
        <c:axId val="2042211872"/>
        <c:scaling>
          <c:orientation val="minMax"/>
        </c:scaling>
        <c:delete val="1"/>
        <c:axPos val="l"/>
        <c:numFmt formatCode="0%" sourceLinked="1"/>
        <c:majorTickMark val="out"/>
        <c:minorTickMark val="none"/>
        <c:tickLblPos val="nextTo"/>
        <c:crossAx val="2042220512"/>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masis MT Pro Light" panose="02040304050005020304" pitchFamily="18"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sz="900" b="1">
          <a:latin typeface="Amasis MT Pro Light" panose="020403040500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[Fictional_ESG_Dataset_100_Companies_DP - Copy.xlsm]Master_Dashboard!PivotTable7</c:name>
    <c:fmtId val="1"/>
  </c:pivotSource>
  <c:chart>
    <c:autoTitleDeleted val="1"/>
    <c:pivotFmts>
      <c:pivotFmt>
        <c:idx val="0"/>
        <c:spPr>
          <a:solidFill>
            <a:schemeClr val="accent1"/>
          </a:solidFill>
          <a:ln w="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w="0">
            <a:solidFill>
              <a:schemeClr val="bg1"/>
            </a:solidFill>
          </a:ln>
          <a:effectLst/>
        </c:spPr>
      </c:pivotFmt>
      <c:pivotFmt>
        <c:idx val="2"/>
        <c:spPr>
          <a:solidFill>
            <a:schemeClr val="accent5">
              <a:lumMod val="60000"/>
              <a:lumOff val="40000"/>
            </a:schemeClr>
          </a:solidFill>
          <a:ln w="0">
            <a:solidFill>
              <a:schemeClr val="bg1"/>
            </a:solidFill>
          </a:ln>
          <a:effectLst/>
        </c:spPr>
      </c:pivotFmt>
      <c:pivotFmt>
        <c:idx val="3"/>
        <c:spPr>
          <a:solidFill>
            <a:schemeClr val="accent2">
              <a:lumMod val="60000"/>
              <a:lumOff val="40000"/>
            </a:schemeClr>
          </a:solidFill>
          <a:ln w="0">
            <a:solidFill>
              <a:schemeClr val="bg1"/>
            </a:solidFill>
          </a:ln>
          <a:effectLst/>
        </c:spPr>
      </c:pivotFmt>
      <c:pivotFmt>
        <c:idx val="4"/>
        <c:spPr>
          <a:solidFill>
            <a:schemeClr val="accent3">
              <a:lumMod val="60000"/>
              <a:lumOff val="40000"/>
            </a:schemeClr>
          </a:solidFill>
          <a:ln w="0">
            <a:solidFill>
              <a:schemeClr val="bg1"/>
            </a:solidFill>
          </a:ln>
          <a:effectLst/>
        </c:spPr>
      </c:pivotFmt>
      <c:pivotFmt>
        <c:idx val="5"/>
        <c:spPr>
          <a:solidFill>
            <a:schemeClr val="accent4">
              <a:lumMod val="60000"/>
              <a:lumOff val="40000"/>
            </a:schemeClr>
          </a:solidFill>
          <a:ln w="0">
            <a:solidFill>
              <a:schemeClr val="bg1"/>
            </a:solidFill>
          </a:ln>
          <a:effectLst/>
        </c:spPr>
      </c:pivotFmt>
      <c:pivotFmt>
        <c:idx val="6"/>
        <c:spPr>
          <a:solidFill>
            <a:schemeClr val="accent6">
              <a:lumMod val="60000"/>
              <a:lumOff val="40000"/>
            </a:schemeClr>
          </a:solidFill>
          <a:ln w="0">
            <a:solidFill>
              <a:schemeClr val="bg1"/>
            </a:solidFill>
          </a:ln>
          <a:effectLst/>
        </c:spPr>
      </c:pivotFmt>
    </c:pivotFmts>
    <c:plotArea>
      <c:layout/>
      <c:pieChart>
        <c:varyColors val="1"/>
        <c:ser>
          <c:idx val="0"/>
          <c:order val="0"/>
          <c:tx>
            <c:strRef>
              <c:f>Master_Dashboard!$AA$27</c:f>
              <c:strCache>
                <c:ptCount val="1"/>
                <c:pt idx="0">
                  <c:v>Total</c:v>
                </c:pt>
              </c:strCache>
            </c:strRef>
          </c:tx>
          <c:spPr>
            <a:ln w="0">
              <a:solidFill>
                <a:schemeClr val="bg1"/>
              </a:solidFill>
            </a:ln>
          </c:spPr>
          <c:dPt>
            <c:idx val="0"/>
            <c:bubble3D val="0"/>
            <c:spPr>
              <a:solidFill>
                <a:schemeClr val="accent1">
                  <a:lumMod val="60000"/>
                  <a:lumOff val="40000"/>
                </a:schemeClr>
              </a:solidFill>
              <a:ln w="0">
                <a:solidFill>
                  <a:schemeClr val="bg1"/>
                </a:solidFill>
              </a:ln>
              <a:effectLst/>
            </c:spPr>
            <c:extLst>
              <c:ext xmlns:c16="http://schemas.microsoft.com/office/drawing/2014/chart" uri="{C3380CC4-5D6E-409C-BE32-E72D297353CC}">
                <c16:uniqueId val="{00000002-1CDF-4C97-A060-093D5E092F17}"/>
              </c:ext>
            </c:extLst>
          </c:dPt>
          <c:dPt>
            <c:idx val="1"/>
            <c:bubble3D val="0"/>
            <c:spPr>
              <a:solidFill>
                <a:schemeClr val="accent2">
                  <a:lumMod val="60000"/>
                  <a:lumOff val="40000"/>
                </a:schemeClr>
              </a:solidFill>
              <a:ln w="0">
                <a:solidFill>
                  <a:schemeClr val="bg1"/>
                </a:solidFill>
              </a:ln>
              <a:effectLst/>
            </c:spPr>
            <c:extLst>
              <c:ext xmlns:c16="http://schemas.microsoft.com/office/drawing/2014/chart" uri="{C3380CC4-5D6E-409C-BE32-E72D297353CC}">
                <c16:uniqueId val="{00000004-1CDF-4C97-A060-093D5E092F17}"/>
              </c:ext>
            </c:extLst>
          </c:dPt>
          <c:dPt>
            <c:idx val="2"/>
            <c:bubble3D val="0"/>
            <c:spPr>
              <a:solidFill>
                <a:schemeClr val="accent3">
                  <a:lumMod val="60000"/>
                  <a:lumOff val="40000"/>
                </a:schemeClr>
              </a:solidFill>
              <a:ln w="0">
                <a:solidFill>
                  <a:schemeClr val="bg1"/>
                </a:solidFill>
              </a:ln>
              <a:effectLst/>
            </c:spPr>
            <c:extLst>
              <c:ext xmlns:c16="http://schemas.microsoft.com/office/drawing/2014/chart" uri="{C3380CC4-5D6E-409C-BE32-E72D297353CC}">
                <c16:uniqueId val="{00000005-1CDF-4C97-A060-093D5E092F17}"/>
              </c:ext>
            </c:extLst>
          </c:dPt>
          <c:dPt>
            <c:idx val="3"/>
            <c:bubble3D val="0"/>
            <c:spPr>
              <a:solidFill>
                <a:schemeClr val="accent4">
                  <a:lumMod val="60000"/>
                  <a:lumOff val="40000"/>
                </a:schemeClr>
              </a:solidFill>
              <a:ln w="0">
                <a:solidFill>
                  <a:schemeClr val="bg1"/>
                </a:solidFill>
              </a:ln>
              <a:effectLst/>
            </c:spPr>
            <c:extLst>
              <c:ext xmlns:c16="http://schemas.microsoft.com/office/drawing/2014/chart" uri="{C3380CC4-5D6E-409C-BE32-E72D297353CC}">
                <c16:uniqueId val="{00000006-1CDF-4C97-A060-093D5E092F17}"/>
              </c:ext>
            </c:extLst>
          </c:dPt>
          <c:dPt>
            <c:idx val="4"/>
            <c:bubble3D val="0"/>
            <c:spPr>
              <a:solidFill>
                <a:schemeClr val="accent5">
                  <a:lumMod val="60000"/>
                  <a:lumOff val="40000"/>
                </a:schemeClr>
              </a:solidFill>
              <a:ln w="0">
                <a:solidFill>
                  <a:schemeClr val="bg1"/>
                </a:solidFill>
              </a:ln>
              <a:effectLst/>
            </c:spPr>
            <c:extLst>
              <c:ext xmlns:c16="http://schemas.microsoft.com/office/drawing/2014/chart" uri="{C3380CC4-5D6E-409C-BE32-E72D297353CC}">
                <c16:uniqueId val="{00000003-1CDF-4C97-A060-093D5E092F17}"/>
              </c:ext>
            </c:extLst>
          </c:dPt>
          <c:dPt>
            <c:idx val="5"/>
            <c:bubble3D val="0"/>
            <c:spPr>
              <a:solidFill>
                <a:schemeClr val="accent6">
                  <a:lumMod val="60000"/>
                  <a:lumOff val="40000"/>
                </a:schemeClr>
              </a:solidFill>
              <a:ln w="0">
                <a:solidFill>
                  <a:schemeClr val="bg1"/>
                </a:solidFill>
              </a:ln>
              <a:effectLst/>
            </c:spPr>
            <c:extLst>
              <c:ext xmlns:c16="http://schemas.microsoft.com/office/drawing/2014/chart" uri="{C3380CC4-5D6E-409C-BE32-E72D297353CC}">
                <c16:uniqueId val="{00000007-1CDF-4C97-A060-093D5E092F17}"/>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masis MT Pro Light" panose="02040304050005020304" pitchFamily="18" charset="0"/>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Master_Dashboard!$Z$28:$Z$34</c:f>
              <c:strCache>
                <c:ptCount val="6"/>
                <c:pt idx="0">
                  <c:v>Australia</c:v>
                </c:pt>
                <c:pt idx="1">
                  <c:v>Canada</c:v>
                </c:pt>
                <c:pt idx="2">
                  <c:v>Germany</c:v>
                </c:pt>
                <c:pt idx="3">
                  <c:v>Japan</c:v>
                </c:pt>
                <c:pt idx="4">
                  <c:v>UK</c:v>
                </c:pt>
                <c:pt idx="5">
                  <c:v>USA</c:v>
                </c:pt>
              </c:strCache>
            </c:strRef>
          </c:cat>
          <c:val>
            <c:numRef>
              <c:f>Master_Dashboard!$AA$28:$AA$34</c:f>
              <c:numCache>
                <c:formatCode>General</c:formatCode>
                <c:ptCount val="6"/>
                <c:pt idx="0">
                  <c:v>15</c:v>
                </c:pt>
                <c:pt idx="1">
                  <c:v>17</c:v>
                </c:pt>
                <c:pt idx="2">
                  <c:v>19</c:v>
                </c:pt>
                <c:pt idx="3">
                  <c:v>15</c:v>
                </c:pt>
                <c:pt idx="4">
                  <c:v>14</c:v>
                </c:pt>
                <c:pt idx="5">
                  <c:v>20</c:v>
                </c:pt>
              </c:numCache>
            </c:numRef>
          </c:val>
          <c:extLst>
            <c:ext xmlns:c16="http://schemas.microsoft.com/office/drawing/2014/chart" uri="{C3380CC4-5D6E-409C-BE32-E72D297353CC}">
              <c16:uniqueId val="{00000000-1CDF-4C97-A060-093D5E092F1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Amasis MT Pro Light" panose="02040304050005020304" pitchFamily="18"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N$27" noThreeD="1"/>
</file>

<file path=xl/ctrlProps/ctrlProp2.xml><?xml version="1.0" encoding="utf-8"?>
<formControlPr xmlns="http://schemas.microsoft.com/office/spreadsheetml/2009/9/main" objectType="CheckBox" checked="Checked" fmlaLink="$R$26"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181430</xdr:rowOff>
    </xdr:from>
    <xdr:to>
      <xdr:col>10</xdr:col>
      <xdr:colOff>559859</xdr:colOff>
      <xdr:row>0</xdr:row>
      <xdr:rowOff>707572</xdr:rowOff>
    </xdr:to>
    <mc:AlternateContent xmlns:mc="http://schemas.openxmlformats.org/markup-compatibility/2006" xmlns:a14="http://schemas.microsoft.com/office/drawing/2010/main">
      <mc:Choice Requires="a14">
        <xdr:graphicFrame macro="">
          <xdr:nvGraphicFramePr>
            <xdr:cNvPr id="2" name="Industry">
              <a:extLst>
                <a:ext uri="{FF2B5EF4-FFF2-40B4-BE49-F238E27FC236}">
                  <a16:creationId xmlns:a16="http://schemas.microsoft.com/office/drawing/2014/main" id="{37A33BB9-9F13-82B6-C86B-749ADD2CC526}"/>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0" y="181430"/>
              <a:ext cx="8323792" cy="5261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556078</xdr:colOff>
      <xdr:row>1</xdr:row>
      <xdr:rowOff>27215</xdr:rowOff>
    </xdr:from>
    <xdr:to>
      <xdr:col>22</xdr:col>
      <xdr:colOff>45356</xdr:colOff>
      <xdr:row>20</xdr:row>
      <xdr:rowOff>163286</xdr:rowOff>
    </xdr:to>
    <xdr:graphicFrame macro="">
      <xdr:nvGraphicFramePr>
        <xdr:cNvPr id="3" name="Chart 2" descr="Chart type: Clustered Column. 'ESG Score' by 'Country' and 'Industry'&#10;&#10;Description automatically generated">
          <a:extLst>
            <a:ext uri="{FF2B5EF4-FFF2-40B4-BE49-F238E27FC236}">
              <a16:creationId xmlns:a16="http://schemas.microsoft.com/office/drawing/2014/main" id="{48FFFF00-6931-494E-01BB-C8190C34CB01}"/>
            </a:ext>
            <a:ext uri="{147F2762-F138-4A5C-976F-8EAC2B608ADB}">
              <a16:predDERef xmlns:a16="http://schemas.microsoft.com/office/drawing/2014/main" pred="{37A33BB9-9F13-82B6-C86B-749ADD2CC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615985</xdr:colOff>
      <xdr:row>34</xdr:row>
      <xdr:rowOff>185953</xdr:rowOff>
    </xdr:from>
    <xdr:to>
      <xdr:col>15</xdr:col>
      <xdr:colOff>336585</xdr:colOff>
      <xdr:row>49</xdr:row>
      <xdr:rowOff>185952</xdr:rowOff>
    </xdr:to>
    <xdr:graphicFrame macro="">
      <xdr:nvGraphicFramePr>
        <xdr:cNvPr id="4" name="Chart 3">
          <a:extLst>
            <a:ext uri="{FF2B5EF4-FFF2-40B4-BE49-F238E27FC236}">
              <a16:creationId xmlns:a16="http://schemas.microsoft.com/office/drawing/2014/main" id="{FF0267C9-1A4E-3462-0E7F-2BA95AEBD0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600751</xdr:colOff>
      <xdr:row>34</xdr:row>
      <xdr:rowOff>180101</xdr:rowOff>
    </xdr:from>
    <xdr:to>
      <xdr:col>23</xdr:col>
      <xdr:colOff>3851</xdr:colOff>
      <xdr:row>49</xdr:row>
      <xdr:rowOff>150107</xdr:rowOff>
    </xdr:to>
    <xdr:graphicFrame macro="">
      <xdr:nvGraphicFramePr>
        <xdr:cNvPr id="6" name="Chart 5">
          <a:extLst>
            <a:ext uri="{FF2B5EF4-FFF2-40B4-BE49-F238E27FC236}">
              <a16:creationId xmlns:a16="http://schemas.microsoft.com/office/drawing/2014/main" id="{155B2EA4-B9BC-5184-CB13-61EC8126D0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327915</xdr:colOff>
      <xdr:row>34</xdr:row>
      <xdr:rowOff>181215</xdr:rowOff>
    </xdr:from>
    <xdr:to>
      <xdr:col>28</xdr:col>
      <xdr:colOff>76357</xdr:colOff>
      <xdr:row>49</xdr:row>
      <xdr:rowOff>170468</xdr:rowOff>
    </xdr:to>
    <xdr:graphicFrame macro="">
      <xdr:nvGraphicFramePr>
        <xdr:cNvPr id="7" name="Chart 6">
          <a:extLst>
            <a:ext uri="{FF2B5EF4-FFF2-40B4-BE49-F238E27FC236}">
              <a16:creationId xmlns:a16="http://schemas.microsoft.com/office/drawing/2014/main" id="{F2EC7ABB-407C-4DB2-A6F4-B3E832502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983640</xdr:colOff>
      <xdr:row>21</xdr:row>
      <xdr:rowOff>0</xdr:rowOff>
    </xdr:from>
    <xdr:to>
      <xdr:col>21</xdr:col>
      <xdr:colOff>504349</xdr:colOff>
      <xdr:row>24</xdr:row>
      <xdr:rowOff>4354</xdr:rowOff>
    </xdr:to>
    <mc:AlternateContent xmlns:mc="http://schemas.openxmlformats.org/markup-compatibility/2006" xmlns:a14="http://schemas.microsoft.com/office/drawing/2010/main">
      <mc:Choice Requires="a14">
        <xdr:graphicFrame macro="">
          <xdr:nvGraphicFramePr>
            <xdr:cNvPr id="3" name="Industry ">
              <a:extLst>
                <a:ext uri="{FF2B5EF4-FFF2-40B4-BE49-F238E27FC236}">
                  <a16:creationId xmlns:a16="http://schemas.microsoft.com/office/drawing/2014/main" id="{7F9E16CB-0004-CB52-877A-C12C92E6766F}"/>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Industry "/>
            </a:graphicData>
          </a:graphic>
        </xdr:graphicFrame>
      </mc:Choice>
      <mc:Fallback xmlns="">
        <xdr:sp macro="" textlink="">
          <xdr:nvSpPr>
            <xdr:cNvPr id="0" name=""/>
            <xdr:cNvSpPr>
              <a:spLocks noTextEdit="1"/>
            </xdr:cNvSpPr>
          </xdr:nvSpPr>
          <xdr:spPr>
            <a:xfrm>
              <a:off x="16033140" y="3810000"/>
              <a:ext cx="7328488"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49896</xdr:colOff>
      <xdr:row>21</xdr:row>
      <xdr:rowOff>32552</xdr:rowOff>
    </xdr:from>
    <xdr:to>
      <xdr:col>30</xdr:col>
      <xdr:colOff>162672</xdr:colOff>
      <xdr:row>24</xdr:row>
      <xdr:rowOff>36906</xdr:rowOff>
    </xdr:to>
    <mc:AlternateContent xmlns:mc="http://schemas.openxmlformats.org/markup-compatibility/2006" xmlns:a14="http://schemas.microsoft.com/office/drawing/2010/main">
      <mc:Choice Requires="a14">
        <xdr:graphicFrame macro="">
          <xdr:nvGraphicFramePr>
            <xdr:cNvPr id="5" name="Country">
              <a:extLst>
                <a:ext uri="{FF2B5EF4-FFF2-40B4-BE49-F238E27FC236}">
                  <a16:creationId xmlns:a16="http://schemas.microsoft.com/office/drawing/2014/main" id="{97B5825E-2EF6-F5BF-7301-F2D71CE2C4F2}"/>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7128110" y="3842552"/>
              <a:ext cx="7342705"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editAs="oneCell">
        <xdr:from>
          <xdr:col>15</xdr:col>
          <xdr:colOff>247650</xdr:colOff>
          <xdr:row>28</xdr:row>
          <xdr:rowOff>152400</xdr:rowOff>
        </xdr:from>
        <xdr:to>
          <xdr:col>15</xdr:col>
          <xdr:colOff>1225550</xdr:colOff>
          <xdr:row>30</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6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29</xdr:row>
          <xdr:rowOff>6350</xdr:rowOff>
        </xdr:from>
        <xdr:to>
          <xdr:col>21</xdr:col>
          <xdr:colOff>1047750</xdr:colOff>
          <xdr:row>30</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6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215.843158564814" createdVersion="8" refreshedVersion="8" minRefreshableVersion="3" recordCount="100" xr:uid="{CAB875AA-9DAE-4C8E-92FD-89C2B7B01479}">
  <cacheSource type="worksheet">
    <worksheetSource ref="H1:J101" sheet="Financial"/>
  </cacheSource>
  <cacheFields count="3">
    <cacheField name="Industry" numFmtId="0">
      <sharedItems count="6">
        <s v="Healthcare"/>
        <s v="Finance"/>
        <s v="Retail"/>
        <s v="Manufacturing"/>
        <s v="Energy"/>
        <s v="Technology"/>
      </sharedItems>
    </cacheField>
    <cacheField name="Country" numFmtId="0">
      <sharedItems count="6">
        <s v="UK"/>
        <s v="USA"/>
        <s v="Japan"/>
        <s v="Australia"/>
        <s v="Canada"/>
        <s v="Germany"/>
      </sharedItems>
    </cacheField>
    <cacheField name="ESG Score" numFmtId="0">
      <sharedItems containsSemiMixedTypes="0" containsString="0" containsNumber="1" containsInteger="1" minValue="35" maxValue="94"/>
    </cacheField>
  </cacheFields>
  <extLst>
    <ext xmlns:x14="http://schemas.microsoft.com/office/spreadsheetml/2009/9/main" uri="{725AE2AE-9491-48be-B2B4-4EB974FC3084}">
      <x14:pivotCacheDefinition pivotCacheId="17715088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yPC001" refreshedDate="46218.088307523147" createdVersion="8" refreshedVersion="8" minRefreshableVersion="3" recordCount="100" xr:uid="{2D4DD350-7FBF-4F54-92B0-A3BF614D092A}">
  <cacheSource type="worksheet">
    <worksheetSource name="Table3"/>
  </cacheSource>
  <cacheFields count="12">
    <cacheField name="Company ID" numFmtId="0">
      <sharedItems containsSemiMixedTypes="0" containsString="0" containsNumber="1" containsInteger="1" minValue="1" maxValue="100" count="1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sharedItems>
    </cacheField>
    <cacheField name="Industry " numFmtId="0">
      <sharedItems count="6">
        <s v="Healthcare"/>
        <s v="Finance"/>
        <s v="Retail"/>
        <s v="Manufacturing"/>
        <s v="Energy"/>
        <s v="Technology"/>
      </sharedItems>
    </cacheField>
    <cacheField name="Country" numFmtId="0">
      <sharedItems count="6">
        <s v="UK"/>
        <s v="USA"/>
        <s v="Japan"/>
        <s v="Australia"/>
        <s v="Canada"/>
        <s v="Germany"/>
      </sharedItems>
    </cacheField>
    <cacheField name="Revenue" numFmtId="0">
      <sharedItems containsSemiMixedTypes="0" containsString="0" containsNumber="1" containsInteger="1" minValue="223" maxValue="29747" count="100">
        <n v="29503"/>
        <n v="9833"/>
        <n v="20673"/>
        <n v="17659"/>
        <n v="22374"/>
        <n v="1098"/>
        <n v="27989"/>
        <n v="18603"/>
        <n v="9777"/>
        <n v="15378"/>
        <n v="1454"/>
        <n v="28347"/>
        <n v="17426"/>
        <n v="12007"/>
        <n v="19119"/>
        <n v="2463"/>
        <n v="8780"/>
        <n v="23788"/>
        <n v="21452"/>
        <n v="28443"/>
        <n v="19136"/>
        <n v="1646"/>
        <n v="13362"/>
        <n v="27810"/>
        <n v="22663"/>
        <n v="22754"/>
        <n v="18310"/>
        <n v="1650"/>
        <n v="23135"/>
        <n v="10791"/>
        <n v="29747"/>
        <n v="4234"/>
        <n v="3573"/>
        <n v="19665"/>
        <n v="6967"/>
        <n v="22933"/>
        <n v="12728"/>
        <n v="10965"/>
        <n v="5827"/>
        <n v="28969"/>
        <n v="20416"/>
        <n v="7331"/>
        <n v="9009"/>
        <n v="223"/>
        <n v="24302"/>
        <n v="4593"/>
        <n v="19725"/>
        <n v="10025"/>
        <n v="26297"/>
        <n v="475"/>
        <n v="11399"/>
        <n v="25458"/>
        <n v="29411"/>
        <n v="12963"/>
        <n v="18463"/>
        <n v="14990"/>
        <n v="13742"/>
        <n v="1745"/>
        <n v="28719"/>
        <n v="25705"/>
        <n v="3008"/>
        <n v="4096"/>
        <n v="14629"/>
        <n v="17656"/>
        <n v="6797"/>
        <n v="19696"/>
        <n v="9287"/>
        <n v="3480"/>
        <n v="27243"/>
        <n v="15607"/>
        <n v="18248"/>
        <n v="12822"/>
        <n v="11324"/>
        <n v="9971"/>
        <n v="7637"/>
        <n v="13709"/>
        <n v="712"/>
        <n v="16524"/>
        <n v="18736"/>
        <n v="6638"/>
        <n v="22175"/>
        <n v="26380"/>
        <n v="21615"/>
        <n v="23988"/>
        <n v="26510"/>
        <n v="21517"/>
        <n v="24198"/>
        <n v="25583"/>
        <n v="28473"/>
        <n v="15242"/>
        <n v="23800"/>
        <n v="15735"/>
        <n v="5043"/>
        <n v="19269"/>
        <n v="5759"/>
        <n v="8112"/>
        <n v="17253"/>
        <n v="17356"/>
        <n v="28910"/>
        <n v="6148"/>
      </sharedItems>
    </cacheField>
    <cacheField name="ESG Score" numFmtId="0">
      <sharedItems containsSemiMixedTypes="0" containsString="0" containsNumber="1" containsInteger="1" minValue="35" maxValue="94" count="50">
        <n v="45"/>
        <n v="82"/>
        <n v="78"/>
        <n v="54"/>
        <n v="62"/>
        <n v="94"/>
        <n v="41"/>
        <n v="35"/>
        <n v="83"/>
        <n v="71"/>
        <n v="68"/>
        <n v="52"/>
        <n v="64"/>
        <n v="89"/>
        <n v="51"/>
        <n v="88"/>
        <n v="65"/>
        <n v="61"/>
        <n v="50"/>
        <n v="39"/>
        <n v="74"/>
        <n v="44"/>
        <n v="93"/>
        <n v="42"/>
        <n v="40"/>
        <n v="55"/>
        <n v="49"/>
        <n v="48"/>
        <n v="70"/>
        <n v="81"/>
        <n v="60"/>
        <n v="86"/>
        <n v="59"/>
        <n v="87"/>
        <n v="90"/>
        <n v="92"/>
        <n v="36"/>
        <n v="91"/>
        <n v="47"/>
        <n v="63"/>
        <n v="38"/>
        <n v="85"/>
        <n v="58"/>
        <n v="72"/>
        <n v="67"/>
        <n v="46"/>
        <n v="73"/>
        <n v="77"/>
        <n v="80"/>
        <n v="84"/>
      </sharedItems>
    </cacheField>
    <cacheField name="Scope 1" numFmtId="0">
      <sharedItems containsSemiMixedTypes="0" containsString="0" containsNumber="1" containsInteger="1" minValue="145" maxValue="7855" count="99">
        <n v="1508"/>
        <n v="4881"/>
        <n v="6247"/>
        <n v="732"/>
        <n v="2683"/>
        <n v="921"/>
        <n v="3119"/>
        <n v="5000"/>
        <n v="3153"/>
        <n v="3992"/>
        <n v="1631"/>
        <n v="5881"/>
        <n v="5514"/>
        <n v="3907"/>
        <n v="4325"/>
        <n v="3245"/>
        <n v="7850"/>
        <n v="3673"/>
        <n v="5357"/>
        <n v="7338"/>
        <n v="416"/>
        <n v="4387"/>
        <n v="1872"/>
        <n v="4780"/>
        <n v="3928"/>
        <n v="1166"/>
        <n v="4028"/>
        <n v="4369"/>
        <n v="7335"/>
        <n v="7359"/>
        <n v="1310"/>
        <n v="4562"/>
        <n v="2155"/>
        <n v="5613"/>
        <n v="2454"/>
        <n v="2882"/>
        <n v="2821"/>
        <n v="3403"/>
        <n v="5325"/>
        <n v="4720"/>
        <n v="1029"/>
        <n v="3319"/>
        <n v="4152"/>
        <n v="4979"/>
        <n v="7829"/>
        <n v="973"/>
        <n v="1455"/>
        <n v="4948"/>
        <n v="1870"/>
        <n v="4580"/>
        <n v="265"/>
        <n v="2431"/>
        <n v="7809"/>
        <n v="2189"/>
        <n v="6564"/>
        <n v="3025"/>
        <n v="5777"/>
        <n v="7190"/>
        <n v="4291"/>
        <n v="3343"/>
        <n v="7123"/>
        <n v="7781"/>
        <n v="7033"/>
        <n v="7505"/>
        <n v="3563"/>
        <n v="6525"/>
        <n v="2853"/>
        <n v="4984"/>
        <n v="1563"/>
        <n v="3793"/>
        <n v="2935"/>
        <n v="6543"/>
        <n v="868"/>
        <n v="6790"/>
        <n v="1934"/>
        <n v="4444"/>
        <n v="626"/>
        <n v="4863"/>
        <n v="5980"/>
        <n v="1068"/>
        <n v="1854"/>
        <n v="3870"/>
        <n v="3984"/>
        <n v="550"/>
        <n v="1323"/>
        <n v="6967"/>
        <n v="1555"/>
        <n v="6009"/>
        <n v="2652"/>
        <n v="4304"/>
        <n v="2483"/>
        <n v="5655"/>
        <n v="1070"/>
        <n v="1745"/>
        <n v="841"/>
        <n v="145"/>
        <n v="3489"/>
        <n v="3671"/>
        <n v="7855"/>
      </sharedItems>
    </cacheField>
    <cacheField name="Scope 2" numFmtId="0">
      <sharedItems containsSemiMixedTypes="0" containsString="0" containsNumber="1" containsInteger="1" minValue="92" maxValue="4909" count="98">
        <n v="1433"/>
        <n v="4203"/>
        <n v="1921"/>
        <n v="3391"/>
        <n v="1906"/>
        <n v="4563"/>
        <n v="3046"/>
        <n v="4539"/>
        <n v="3527"/>
        <n v="3500"/>
        <n v="4680"/>
        <n v="1706"/>
        <n v="4702"/>
        <n v="1338"/>
        <n v="3612"/>
        <n v="4147"/>
        <n v="4298"/>
        <n v="913"/>
        <n v="4426"/>
        <n v="2053"/>
        <n v="2125"/>
        <n v="982"/>
        <n v="3313"/>
        <n v="1666"/>
        <n v="4169"/>
        <n v="2098"/>
        <n v="3299"/>
        <n v="3397"/>
        <n v="491"/>
        <n v="1319"/>
        <n v="172"/>
        <n v="2026"/>
        <n v="902"/>
        <n v="2888"/>
        <n v="3854"/>
        <n v="323"/>
        <n v="799"/>
        <n v="230"/>
        <n v="3308"/>
        <n v="1037"/>
        <n v="2806"/>
        <n v="3634"/>
        <n v="1997"/>
        <n v="1384"/>
        <n v="4214"/>
        <n v="4273"/>
        <n v="1607"/>
        <n v="2253"/>
        <n v="2409"/>
        <n v="1994"/>
        <n v="4057"/>
        <n v="2115"/>
        <n v="402"/>
        <n v="4755"/>
        <n v="2544"/>
        <n v="3595"/>
        <n v="3910"/>
        <n v="92"/>
        <n v="3471"/>
        <n v="2246"/>
        <n v="571"/>
        <n v="2140"/>
        <n v="169"/>
        <n v="4909"/>
        <n v="4771"/>
        <n v="4753"/>
        <n v="4050"/>
        <n v="3524"/>
        <n v="3980"/>
        <n v="4422"/>
        <n v="4745"/>
        <n v="1224"/>
        <n v="3035"/>
        <n v="731"/>
        <n v="3594"/>
        <n v="1793"/>
        <n v="1745"/>
        <n v="677"/>
        <n v="3238"/>
        <n v="1044"/>
        <n v="4010"/>
        <n v="3886"/>
        <n v="3134"/>
        <n v="4202"/>
        <n v="1865"/>
        <n v="2812"/>
        <n v="2623"/>
        <n v="1814"/>
        <n v="1369"/>
        <n v="2363"/>
        <n v="1835"/>
        <n v="2914"/>
        <n v="4615"/>
        <n v="3841"/>
        <n v="3738"/>
        <n v="2721"/>
        <n v="2519"/>
        <n v="2503"/>
      </sharedItems>
    </cacheField>
    <cacheField name="Scope 3" numFmtId="0">
      <sharedItems containsSemiMixedTypes="0" containsString="0" containsNumber="1" containsInteger="1" minValue="590" maxValue="48649" count="100">
        <n v="31607"/>
        <n v="26832"/>
        <n v="41161"/>
        <n v="25133"/>
        <n v="47599"/>
        <n v="21598"/>
        <n v="48173"/>
        <n v="41339"/>
        <n v="19370"/>
        <n v="48649"/>
        <n v="21694"/>
        <n v="31137"/>
        <n v="23550"/>
        <n v="46392"/>
        <n v="33729"/>
        <n v="47125"/>
        <n v="39412"/>
        <n v="7679"/>
        <n v="8895"/>
        <n v="6879"/>
        <n v="16727"/>
        <n v="42333"/>
        <n v="12941"/>
        <n v="30430"/>
        <n v="32745"/>
        <n v="13679"/>
        <n v="22245"/>
        <n v="3878"/>
        <n v="16672"/>
        <n v="25268"/>
        <n v="27672"/>
        <n v="5930"/>
        <n v="33704"/>
        <n v="12308"/>
        <n v="1379"/>
        <n v="37089"/>
        <n v="40063"/>
        <n v="23236"/>
        <n v="42555"/>
        <n v="43538"/>
        <n v="14375"/>
        <n v="1459"/>
        <n v="5458"/>
        <n v="29522"/>
        <n v="20397"/>
        <n v="17648"/>
        <n v="28702"/>
        <n v="3758"/>
        <n v="14574"/>
        <n v="43544"/>
        <n v="47361"/>
        <n v="39710"/>
        <n v="5331"/>
        <n v="43780"/>
        <n v="23227"/>
        <n v="25295"/>
        <n v="34430"/>
        <n v="35454"/>
        <n v="5975"/>
        <n v="26881"/>
        <n v="35763"/>
        <n v="36232"/>
        <n v="45002"/>
        <n v="5281"/>
        <n v="48272"/>
        <n v="27919"/>
        <n v="20900"/>
        <n v="10052"/>
        <n v="43614"/>
        <n v="9792"/>
        <n v="18396"/>
        <n v="13855"/>
        <n v="17955"/>
        <n v="25702"/>
        <n v="43294"/>
        <n v="33790"/>
        <n v="43483"/>
        <n v="38318"/>
        <n v="45348"/>
        <n v="44169"/>
        <n v="34812"/>
        <n v="5523"/>
        <n v="6603"/>
        <n v="43914"/>
        <n v="40952"/>
        <n v="39190"/>
        <n v="5575"/>
        <n v="24944"/>
        <n v="15547"/>
        <n v="33061"/>
        <n v="590"/>
        <n v="40069"/>
        <n v="17708"/>
        <n v="47190"/>
        <n v="18419"/>
        <n v="47926"/>
        <n v="7239"/>
        <n v="35029"/>
        <n v="28508"/>
        <n v="40862"/>
      </sharedItems>
    </cacheField>
    <cacheField name="Renewable%" numFmtId="0">
      <sharedItems containsSemiMixedTypes="0" containsString="0" containsNumber="1" containsInteger="1" minValue="6" maxValue="99"/>
    </cacheField>
    <cacheField name="Women Leadership %" numFmtId="0">
      <sharedItems containsSemiMixedTypes="0" containsString="0" containsNumber="1" containsInteger="1" minValue="10" maxValue="60"/>
    </cacheField>
    <cacheField name="Board Independence %" numFmtId="0">
      <sharedItems containsSemiMixedTypes="0" containsString="0" containsNumber="1" containsInteger="1" minValue="41" maxValue="100"/>
    </cacheField>
    <cacheField name="ESG Committee" numFmtId="0">
      <sharedItems/>
    </cacheField>
  </cacheFields>
  <extLst>
    <ext xmlns:x14="http://schemas.microsoft.com/office/spreadsheetml/2009/9/main" uri="{725AE2AE-9491-48be-B2B4-4EB974FC3084}">
      <x14:pivotCacheDefinition pivotCacheId="11097501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n v="45"/>
  </r>
  <r>
    <x v="1"/>
    <x v="1"/>
    <n v="82"/>
  </r>
  <r>
    <x v="2"/>
    <x v="1"/>
    <n v="78"/>
  </r>
  <r>
    <x v="0"/>
    <x v="2"/>
    <n v="54"/>
  </r>
  <r>
    <x v="3"/>
    <x v="3"/>
    <n v="62"/>
  </r>
  <r>
    <x v="2"/>
    <x v="4"/>
    <n v="94"/>
  </r>
  <r>
    <x v="2"/>
    <x v="4"/>
    <n v="41"/>
  </r>
  <r>
    <x v="1"/>
    <x v="4"/>
    <n v="35"/>
  </r>
  <r>
    <x v="4"/>
    <x v="3"/>
    <n v="83"/>
  </r>
  <r>
    <x v="5"/>
    <x v="3"/>
    <n v="78"/>
  </r>
  <r>
    <x v="1"/>
    <x v="1"/>
    <n v="62"/>
  </r>
  <r>
    <x v="5"/>
    <x v="5"/>
    <n v="71"/>
  </r>
  <r>
    <x v="0"/>
    <x v="0"/>
    <n v="68"/>
  </r>
  <r>
    <x v="3"/>
    <x v="2"/>
    <n v="52"/>
  </r>
  <r>
    <x v="1"/>
    <x v="5"/>
    <n v="64"/>
  </r>
  <r>
    <x v="4"/>
    <x v="3"/>
    <n v="89"/>
  </r>
  <r>
    <x v="1"/>
    <x v="5"/>
    <n v="52"/>
  </r>
  <r>
    <x v="4"/>
    <x v="5"/>
    <n v="51"/>
  </r>
  <r>
    <x v="1"/>
    <x v="2"/>
    <n v="88"/>
  </r>
  <r>
    <x v="3"/>
    <x v="0"/>
    <n v="65"/>
  </r>
  <r>
    <x v="3"/>
    <x v="1"/>
    <n v="61"/>
  </r>
  <r>
    <x v="0"/>
    <x v="2"/>
    <n v="50"/>
  </r>
  <r>
    <x v="1"/>
    <x v="5"/>
    <n v="39"/>
  </r>
  <r>
    <x v="4"/>
    <x v="2"/>
    <n v="41"/>
  </r>
  <r>
    <x v="3"/>
    <x v="3"/>
    <n v="74"/>
  </r>
  <r>
    <x v="4"/>
    <x v="4"/>
    <n v="44"/>
  </r>
  <r>
    <x v="1"/>
    <x v="4"/>
    <n v="93"/>
  </r>
  <r>
    <x v="5"/>
    <x v="4"/>
    <n v="64"/>
  </r>
  <r>
    <x v="1"/>
    <x v="5"/>
    <n v="82"/>
  </r>
  <r>
    <x v="2"/>
    <x v="5"/>
    <n v="42"/>
  </r>
  <r>
    <x v="4"/>
    <x v="0"/>
    <n v="62"/>
  </r>
  <r>
    <x v="3"/>
    <x v="5"/>
    <n v="40"/>
  </r>
  <r>
    <x v="3"/>
    <x v="3"/>
    <n v="93"/>
  </r>
  <r>
    <x v="4"/>
    <x v="1"/>
    <n v="55"/>
  </r>
  <r>
    <x v="3"/>
    <x v="0"/>
    <n v="89"/>
  </r>
  <r>
    <x v="0"/>
    <x v="1"/>
    <n v="89"/>
  </r>
  <r>
    <x v="0"/>
    <x v="4"/>
    <n v="89"/>
  </r>
  <r>
    <x v="2"/>
    <x v="1"/>
    <n v="51"/>
  </r>
  <r>
    <x v="0"/>
    <x v="0"/>
    <n v="49"/>
  </r>
  <r>
    <x v="3"/>
    <x v="0"/>
    <n v="41"/>
  </r>
  <r>
    <x v="2"/>
    <x v="1"/>
    <n v="48"/>
  </r>
  <r>
    <x v="2"/>
    <x v="1"/>
    <n v="70"/>
  </r>
  <r>
    <x v="1"/>
    <x v="4"/>
    <n v="81"/>
  </r>
  <r>
    <x v="3"/>
    <x v="2"/>
    <n v="71"/>
  </r>
  <r>
    <x v="1"/>
    <x v="5"/>
    <n v="54"/>
  </r>
  <r>
    <x v="1"/>
    <x v="4"/>
    <n v="60"/>
  </r>
  <r>
    <x v="0"/>
    <x v="2"/>
    <n v="86"/>
  </r>
  <r>
    <x v="0"/>
    <x v="3"/>
    <n v="48"/>
  </r>
  <r>
    <x v="1"/>
    <x v="1"/>
    <n v="78"/>
  </r>
  <r>
    <x v="4"/>
    <x v="2"/>
    <n v="45"/>
  </r>
  <r>
    <x v="0"/>
    <x v="4"/>
    <n v="59"/>
  </r>
  <r>
    <x v="3"/>
    <x v="4"/>
    <n v="87"/>
  </r>
  <r>
    <x v="5"/>
    <x v="0"/>
    <n v="48"/>
  </r>
  <r>
    <x v="0"/>
    <x v="1"/>
    <n v="94"/>
  </r>
  <r>
    <x v="5"/>
    <x v="2"/>
    <n v="87"/>
  </r>
  <r>
    <x v="3"/>
    <x v="1"/>
    <n v="41"/>
  </r>
  <r>
    <x v="0"/>
    <x v="0"/>
    <n v="90"/>
  </r>
  <r>
    <x v="1"/>
    <x v="2"/>
    <n v="70"/>
  </r>
  <r>
    <x v="2"/>
    <x v="1"/>
    <n v="92"/>
  </r>
  <r>
    <x v="3"/>
    <x v="1"/>
    <n v="70"/>
  </r>
  <r>
    <x v="3"/>
    <x v="4"/>
    <n v="55"/>
  </r>
  <r>
    <x v="5"/>
    <x v="1"/>
    <n v="36"/>
  </r>
  <r>
    <x v="5"/>
    <x v="2"/>
    <n v="36"/>
  </r>
  <r>
    <x v="5"/>
    <x v="5"/>
    <n v="45"/>
  </r>
  <r>
    <x v="3"/>
    <x v="5"/>
    <n v="81"/>
  </r>
  <r>
    <x v="5"/>
    <x v="4"/>
    <n v="91"/>
  </r>
  <r>
    <x v="4"/>
    <x v="3"/>
    <n v="65"/>
  </r>
  <r>
    <x v="0"/>
    <x v="3"/>
    <n v="65"/>
  </r>
  <r>
    <x v="2"/>
    <x v="0"/>
    <n v="47"/>
  </r>
  <r>
    <x v="1"/>
    <x v="0"/>
    <n v="65"/>
  </r>
  <r>
    <x v="5"/>
    <x v="0"/>
    <n v="63"/>
  </r>
  <r>
    <x v="2"/>
    <x v="4"/>
    <n v="61"/>
  </r>
  <r>
    <x v="5"/>
    <x v="4"/>
    <n v="38"/>
  </r>
  <r>
    <x v="4"/>
    <x v="5"/>
    <n v="48"/>
  </r>
  <r>
    <x v="0"/>
    <x v="4"/>
    <n v="85"/>
  </r>
  <r>
    <x v="2"/>
    <x v="5"/>
    <n v="83"/>
  </r>
  <r>
    <x v="4"/>
    <x v="5"/>
    <n v="78"/>
  </r>
  <r>
    <x v="4"/>
    <x v="2"/>
    <n v="50"/>
  </r>
  <r>
    <x v="1"/>
    <x v="4"/>
    <n v="82"/>
  </r>
  <r>
    <x v="4"/>
    <x v="3"/>
    <n v="64"/>
  </r>
  <r>
    <x v="1"/>
    <x v="3"/>
    <n v="58"/>
  </r>
  <r>
    <x v="1"/>
    <x v="2"/>
    <n v="38"/>
  </r>
  <r>
    <x v="3"/>
    <x v="5"/>
    <n v="88"/>
  </r>
  <r>
    <x v="3"/>
    <x v="1"/>
    <n v="88"/>
  </r>
  <r>
    <x v="3"/>
    <x v="1"/>
    <n v="51"/>
  </r>
  <r>
    <x v="3"/>
    <x v="3"/>
    <n v="72"/>
  </r>
  <r>
    <x v="3"/>
    <x v="5"/>
    <n v="67"/>
  </r>
  <r>
    <x v="2"/>
    <x v="2"/>
    <n v="85"/>
  </r>
  <r>
    <x v="5"/>
    <x v="0"/>
    <n v="46"/>
  </r>
  <r>
    <x v="0"/>
    <x v="3"/>
    <n v="59"/>
  </r>
  <r>
    <x v="0"/>
    <x v="5"/>
    <n v="64"/>
  </r>
  <r>
    <x v="2"/>
    <x v="2"/>
    <n v="73"/>
  </r>
  <r>
    <x v="5"/>
    <x v="5"/>
    <n v="77"/>
  </r>
  <r>
    <x v="5"/>
    <x v="3"/>
    <n v="80"/>
  </r>
  <r>
    <x v="2"/>
    <x v="3"/>
    <n v="70"/>
  </r>
  <r>
    <x v="1"/>
    <x v="0"/>
    <n v="92"/>
  </r>
  <r>
    <x v="1"/>
    <x v="1"/>
    <n v="46"/>
  </r>
  <r>
    <x v="4"/>
    <x v="5"/>
    <n v="65"/>
  </r>
  <r>
    <x v="3"/>
    <x v="1"/>
    <n v="51"/>
  </r>
  <r>
    <x v="3"/>
    <x v="1"/>
    <n v="8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x v="0"/>
    <x v="0"/>
    <x v="0"/>
    <n v="97"/>
    <n v="44"/>
    <n v="91"/>
    <s v="Yes"/>
  </r>
  <r>
    <x v="1"/>
    <x v="1"/>
    <x v="1"/>
    <x v="1"/>
    <x v="1"/>
    <x v="1"/>
    <x v="1"/>
    <x v="1"/>
    <n v="74"/>
    <n v="16"/>
    <n v="55"/>
    <s v="Yes"/>
  </r>
  <r>
    <x v="2"/>
    <x v="2"/>
    <x v="1"/>
    <x v="2"/>
    <x v="2"/>
    <x v="2"/>
    <x v="2"/>
    <x v="2"/>
    <n v="16"/>
    <n v="57"/>
    <n v="41"/>
    <s v="Yes"/>
  </r>
  <r>
    <x v="3"/>
    <x v="0"/>
    <x v="2"/>
    <x v="3"/>
    <x v="3"/>
    <x v="3"/>
    <x v="3"/>
    <x v="3"/>
    <n v="81"/>
    <n v="43"/>
    <n v="90"/>
    <s v="Yes"/>
  </r>
  <r>
    <x v="4"/>
    <x v="3"/>
    <x v="3"/>
    <x v="4"/>
    <x v="4"/>
    <x v="4"/>
    <x v="4"/>
    <x v="4"/>
    <n v="95"/>
    <n v="14"/>
    <n v="94"/>
    <s v="Yes"/>
  </r>
  <r>
    <x v="5"/>
    <x v="2"/>
    <x v="4"/>
    <x v="5"/>
    <x v="5"/>
    <x v="5"/>
    <x v="5"/>
    <x v="5"/>
    <n v="89"/>
    <n v="17"/>
    <n v="45"/>
    <s v="No"/>
  </r>
  <r>
    <x v="6"/>
    <x v="2"/>
    <x v="4"/>
    <x v="6"/>
    <x v="6"/>
    <x v="6"/>
    <x v="6"/>
    <x v="6"/>
    <n v="47"/>
    <n v="27"/>
    <n v="52"/>
    <s v="Yes"/>
  </r>
  <r>
    <x v="7"/>
    <x v="1"/>
    <x v="4"/>
    <x v="7"/>
    <x v="7"/>
    <x v="7"/>
    <x v="7"/>
    <x v="7"/>
    <n v="75"/>
    <n v="26"/>
    <n v="45"/>
    <s v="No"/>
  </r>
  <r>
    <x v="8"/>
    <x v="4"/>
    <x v="3"/>
    <x v="8"/>
    <x v="8"/>
    <x v="8"/>
    <x v="8"/>
    <x v="8"/>
    <n v="44"/>
    <n v="56"/>
    <n v="60"/>
    <s v="No"/>
  </r>
  <r>
    <x v="9"/>
    <x v="5"/>
    <x v="3"/>
    <x v="9"/>
    <x v="2"/>
    <x v="9"/>
    <x v="9"/>
    <x v="9"/>
    <n v="37"/>
    <n v="14"/>
    <n v="92"/>
    <s v="Yes"/>
  </r>
  <r>
    <x v="10"/>
    <x v="1"/>
    <x v="1"/>
    <x v="10"/>
    <x v="4"/>
    <x v="10"/>
    <x v="10"/>
    <x v="10"/>
    <n v="84"/>
    <n v="53"/>
    <n v="86"/>
    <s v="Yes"/>
  </r>
  <r>
    <x v="11"/>
    <x v="5"/>
    <x v="5"/>
    <x v="11"/>
    <x v="9"/>
    <x v="11"/>
    <x v="11"/>
    <x v="11"/>
    <n v="84"/>
    <n v="26"/>
    <n v="61"/>
    <s v="No"/>
  </r>
  <r>
    <x v="12"/>
    <x v="0"/>
    <x v="0"/>
    <x v="12"/>
    <x v="10"/>
    <x v="12"/>
    <x v="12"/>
    <x v="12"/>
    <n v="64"/>
    <n v="17"/>
    <n v="93"/>
    <s v="No"/>
  </r>
  <r>
    <x v="13"/>
    <x v="3"/>
    <x v="2"/>
    <x v="13"/>
    <x v="11"/>
    <x v="13"/>
    <x v="13"/>
    <x v="13"/>
    <n v="49"/>
    <n v="28"/>
    <n v="92"/>
    <s v="Yes"/>
  </r>
  <r>
    <x v="14"/>
    <x v="1"/>
    <x v="5"/>
    <x v="14"/>
    <x v="12"/>
    <x v="14"/>
    <x v="14"/>
    <x v="14"/>
    <n v="75"/>
    <n v="30"/>
    <n v="87"/>
    <s v="Yes"/>
  </r>
  <r>
    <x v="15"/>
    <x v="4"/>
    <x v="3"/>
    <x v="15"/>
    <x v="13"/>
    <x v="15"/>
    <x v="15"/>
    <x v="15"/>
    <n v="94"/>
    <n v="12"/>
    <n v="80"/>
    <s v="Yes"/>
  </r>
  <r>
    <x v="16"/>
    <x v="1"/>
    <x v="5"/>
    <x v="16"/>
    <x v="11"/>
    <x v="16"/>
    <x v="16"/>
    <x v="16"/>
    <n v="19"/>
    <n v="54"/>
    <n v="58"/>
    <s v="Yes"/>
  </r>
  <r>
    <x v="17"/>
    <x v="4"/>
    <x v="5"/>
    <x v="17"/>
    <x v="14"/>
    <x v="17"/>
    <x v="17"/>
    <x v="17"/>
    <n v="43"/>
    <n v="45"/>
    <n v="64"/>
    <s v="No"/>
  </r>
  <r>
    <x v="18"/>
    <x v="1"/>
    <x v="2"/>
    <x v="18"/>
    <x v="15"/>
    <x v="18"/>
    <x v="18"/>
    <x v="18"/>
    <n v="98"/>
    <n v="18"/>
    <n v="100"/>
    <s v="Yes"/>
  </r>
  <r>
    <x v="19"/>
    <x v="3"/>
    <x v="0"/>
    <x v="19"/>
    <x v="16"/>
    <x v="19"/>
    <x v="19"/>
    <x v="19"/>
    <n v="72"/>
    <n v="40"/>
    <n v="82"/>
    <s v="Yes"/>
  </r>
  <r>
    <x v="20"/>
    <x v="3"/>
    <x v="1"/>
    <x v="20"/>
    <x v="17"/>
    <x v="20"/>
    <x v="20"/>
    <x v="20"/>
    <n v="95"/>
    <n v="26"/>
    <n v="95"/>
    <s v="No"/>
  </r>
  <r>
    <x v="21"/>
    <x v="0"/>
    <x v="2"/>
    <x v="21"/>
    <x v="18"/>
    <x v="21"/>
    <x v="21"/>
    <x v="21"/>
    <n v="71"/>
    <n v="48"/>
    <n v="98"/>
    <s v="No"/>
  </r>
  <r>
    <x v="22"/>
    <x v="1"/>
    <x v="5"/>
    <x v="22"/>
    <x v="19"/>
    <x v="22"/>
    <x v="22"/>
    <x v="22"/>
    <n v="97"/>
    <n v="54"/>
    <n v="53"/>
    <s v="No"/>
  </r>
  <r>
    <x v="23"/>
    <x v="4"/>
    <x v="2"/>
    <x v="23"/>
    <x v="6"/>
    <x v="23"/>
    <x v="23"/>
    <x v="23"/>
    <n v="47"/>
    <n v="35"/>
    <n v="97"/>
    <s v="Yes"/>
  </r>
  <r>
    <x v="24"/>
    <x v="3"/>
    <x v="3"/>
    <x v="24"/>
    <x v="20"/>
    <x v="24"/>
    <x v="24"/>
    <x v="24"/>
    <n v="83"/>
    <n v="14"/>
    <n v="52"/>
    <s v="No"/>
  </r>
  <r>
    <x v="25"/>
    <x v="4"/>
    <x v="4"/>
    <x v="25"/>
    <x v="21"/>
    <x v="25"/>
    <x v="25"/>
    <x v="25"/>
    <n v="42"/>
    <n v="56"/>
    <n v="51"/>
    <s v="Yes"/>
  </r>
  <r>
    <x v="26"/>
    <x v="1"/>
    <x v="4"/>
    <x v="26"/>
    <x v="22"/>
    <x v="26"/>
    <x v="26"/>
    <x v="26"/>
    <n v="67"/>
    <n v="12"/>
    <n v="60"/>
    <s v="No"/>
  </r>
  <r>
    <x v="27"/>
    <x v="5"/>
    <x v="4"/>
    <x v="27"/>
    <x v="12"/>
    <x v="27"/>
    <x v="27"/>
    <x v="27"/>
    <n v="39"/>
    <n v="22"/>
    <n v="53"/>
    <s v="Yes"/>
  </r>
  <r>
    <x v="28"/>
    <x v="1"/>
    <x v="5"/>
    <x v="28"/>
    <x v="1"/>
    <x v="28"/>
    <x v="28"/>
    <x v="28"/>
    <n v="36"/>
    <n v="40"/>
    <n v="89"/>
    <s v="No"/>
  </r>
  <r>
    <x v="29"/>
    <x v="2"/>
    <x v="5"/>
    <x v="29"/>
    <x v="23"/>
    <x v="29"/>
    <x v="29"/>
    <x v="29"/>
    <n v="41"/>
    <n v="22"/>
    <n v="92"/>
    <s v="No"/>
  </r>
  <r>
    <x v="30"/>
    <x v="4"/>
    <x v="0"/>
    <x v="30"/>
    <x v="4"/>
    <x v="30"/>
    <x v="30"/>
    <x v="30"/>
    <n v="14"/>
    <n v="25"/>
    <n v="75"/>
    <s v="Yes"/>
  </r>
  <r>
    <x v="31"/>
    <x v="3"/>
    <x v="5"/>
    <x v="31"/>
    <x v="24"/>
    <x v="31"/>
    <x v="31"/>
    <x v="31"/>
    <n v="52"/>
    <n v="48"/>
    <n v="56"/>
    <s v="Yes"/>
  </r>
  <r>
    <x v="32"/>
    <x v="3"/>
    <x v="3"/>
    <x v="32"/>
    <x v="22"/>
    <x v="32"/>
    <x v="32"/>
    <x v="32"/>
    <n v="99"/>
    <n v="28"/>
    <n v="59"/>
    <s v="Yes"/>
  </r>
  <r>
    <x v="33"/>
    <x v="4"/>
    <x v="1"/>
    <x v="33"/>
    <x v="25"/>
    <x v="33"/>
    <x v="33"/>
    <x v="33"/>
    <n v="80"/>
    <n v="21"/>
    <n v="70"/>
    <s v="Yes"/>
  </r>
  <r>
    <x v="34"/>
    <x v="3"/>
    <x v="0"/>
    <x v="34"/>
    <x v="13"/>
    <x v="34"/>
    <x v="34"/>
    <x v="34"/>
    <n v="40"/>
    <n v="23"/>
    <n v="87"/>
    <s v="Yes"/>
  </r>
  <r>
    <x v="35"/>
    <x v="0"/>
    <x v="1"/>
    <x v="35"/>
    <x v="13"/>
    <x v="35"/>
    <x v="35"/>
    <x v="35"/>
    <n v="9"/>
    <n v="59"/>
    <n v="48"/>
    <s v="Yes"/>
  </r>
  <r>
    <x v="36"/>
    <x v="0"/>
    <x v="4"/>
    <x v="36"/>
    <x v="13"/>
    <x v="36"/>
    <x v="36"/>
    <x v="36"/>
    <n v="73"/>
    <n v="21"/>
    <n v="78"/>
    <s v="Yes"/>
  </r>
  <r>
    <x v="37"/>
    <x v="2"/>
    <x v="1"/>
    <x v="37"/>
    <x v="14"/>
    <x v="37"/>
    <x v="37"/>
    <x v="37"/>
    <n v="42"/>
    <n v="38"/>
    <n v="86"/>
    <s v="No"/>
  </r>
  <r>
    <x v="38"/>
    <x v="0"/>
    <x v="0"/>
    <x v="38"/>
    <x v="26"/>
    <x v="38"/>
    <x v="38"/>
    <x v="38"/>
    <n v="78"/>
    <n v="21"/>
    <n v="66"/>
    <s v="No"/>
  </r>
  <r>
    <x v="39"/>
    <x v="3"/>
    <x v="0"/>
    <x v="39"/>
    <x v="6"/>
    <x v="39"/>
    <x v="39"/>
    <x v="39"/>
    <n v="33"/>
    <n v="50"/>
    <n v="45"/>
    <s v="Yes"/>
  </r>
  <r>
    <x v="40"/>
    <x v="2"/>
    <x v="1"/>
    <x v="40"/>
    <x v="27"/>
    <x v="40"/>
    <x v="40"/>
    <x v="40"/>
    <n v="42"/>
    <n v="36"/>
    <n v="90"/>
    <s v="No"/>
  </r>
  <r>
    <x v="41"/>
    <x v="2"/>
    <x v="1"/>
    <x v="41"/>
    <x v="28"/>
    <x v="41"/>
    <x v="41"/>
    <x v="41"/>
    <n v="29"/>
    <n v="57"/>
    <n v="47"/>
    <s v="No"/>
  </r>
  <r>
    <x v="42"/>
    <x v="1"/>
    <x v="4"/>
    <x v="42"/>
    <x v="29"/>
    <x v="42"/>
    <x v="42"/>
    <x v="42"/>
    <n v="94"/>
    <n v="40"/>
    <n v="62"/>
    <s v="No"/>
  </r>
  <r>
    <x v="43"/>
    <x v="3"/>
    <x v="2"/>
    <x v="43"/>
    <x v="9"/>
    <x v="43"/>
    <x v="43"/>
    <x v="43"/>
    <n v="54"/>
    <n v="13"/>
    <n v="95"/>
    <s v="No"/>
  </r>
  <r>
    <x v="44"/>
    <x v="1"/>
    <x v="5"/>
    <x v="44"/>
    <x v="3"/>
    <x v="44"/>
    <x v="44"/>
    <x v="44"/>
    <n v="9"/>
    <n v="48"/>
    <n v="66"/>
    <s v="Yes"/>
  </r>
  <r>
    <x v="45"/>
    <x v="1"/>
    <x v="4"/>
    <x v="45"/>
    <x v="30"/>
    <x v="45"/>
    <x v="45"/>
    <x v="45"/>
    <n v="7"/>
    <n v="25"/>
    <n v="82"/>
    <s v="Yes"/>
  </r>
  <r>
    <x v="46"/>
    <x v="0"/>
    <x v="2"/>
    <x v="46"/>
    <x v="31"/>
    <x v="46"/>
    <x v="46"/>
    <x v="46"/>
    <n v="53"/>
    <n v="49"/>
    <n v="93"/>
    <s v="No"/>
  </r>
  <r>
    <x v="47"/>
    <x v="0"/>
    <x v="3"/>
    <x v="47"/>
    <x v="27"/>
    <x v="47"/>
    <x v="47"/>
    <x v="47"/>
    <n v="33"/>
    <n v="28"/>
    <n v="74"/>
    <s v="Yes"/>
  </r>
  <r>
    <x v="48"/>
    <x v="1"/>
    <x v="1"/>
    <x v="48"/>
    <x v="2"/>
    <x v="48"/>
    <x v="48"/>
    <x v="48"/>
    <n v="8"/>
    <n v="28"/>
    <n v="58"/>
    <s v="Yes"/>
  </r>
  <r>
    <x v="49"/>
    <x v="4"/>
    <x v="2"/>
    <x v="49"/>
    <x v="0"/>
    <x v="49"/>
    <x v="49"/>
    <x v="49"/>
    <n v="18"/>
    <n v="16"/>
    <n v="95"/>
    <s v="Yes"/>
  </r>
  <r>
    <x v="50"/>
    <x v="0"/>
    <x v="4"/>
    <x v="50"/>
    <x v="32"/>
    <x v="50"/>
    <x v="50"/>
    <x v="50"/>
    <n v="56"/>
    <n v="15"/>
    <n v="99"/>
    <s v="Yes"/>
  </r>
  <r>
    <x v="51"/>
    <x v="3"/>
    <x v="4"/>
    <x v="51"/>
    <x v="33"/>
    <x v="51"/>
    <x v="51"/>
    <x v="51"/>
    <n v="57"/>
    <n v="19"/>
    <n v="85"/>
    <s v="Yes"/>
  </r>
  <r>
    <x v="52"/>
    <x v="5"/>
    <x v="0"/>
    <x v="52"/>
    <x v="27"/>
    <x v="52"/>
    <x v="52"/>
    <x v="52"/>
    <n v="79"/>
    <n v="54"/>
    <n v="88"/>
    <s v="Yes"/>
  </r>
  <r>
    <x v="53"/>
    <x v="0"/>
    <x v="1"/>
    <x v="53"/>
    <x v="5"/>
    <x v="53"/>
    <x v="53"/>
    <x v="53"/>
    <n v="10"/>
    <n v="56"/>
    <n v="53"/>
    <s v="No"/>
  </r>
  <r>
    <x v="54"/>
    <x v="5"/>
    <x v="2"/>
    <x v="54"/>
    <x v="33"/>
    <x v="54"/>
    <x v="54"/>
    <x v="54"/>
    <n v="34"/>
    <n v="54"/>
    <n v="98"/>
    <s v="Yes"/>
  </r>
  <r>
    <x v="55"/>
    <x v="3"/>
    <x v="1"/>
    <x v="55"/>
    <x v="6"/>
    <x v="55"/>
    <x v="55"/>
    <x v="55"/>
    <n v="68"/>
    <n v="27"/>
    <n v="46"/>
    <s v="No"/>
  </r>
  <r>
    <x v="56"/>
    <x v="0"/>
    <x v="0"/>
    <x v="56"/>
    <x v="34"/>
    <x v="56"/>
    <x v="56"/>
    <x v="56"/>
    <n v="40"/>
    <n v="29"/>
    <n v="69"/>
    <s v="Yes"/>
  </r>
  <r>
    <x v="57"/>
    <x v="1"/>
    <x v="2"/>
    <x v="57"/>
    <x v="28"/>
    <x v="57"/>
    <x v="57"/>
    <x v="57"/>
    <n v="6"/>
    <n v="10"/>
    <n v="94"/>
    <s v="Yes"/>
  </r>
  <r>
    <x v="58"/>
    <x v="2"/>
    <x v="1"/>
    <x v="58"/>
    <x v="35"/>
    <x v="58"/>
    <x v="58"/>
    <x v="58"/>
    <n v="88"/>
    <n v="21"/>
    <n v="50"/>
    <s v="Yes"/>
  </r>
  <r>
    <x v="59"/>
    <x v="3"/>
    <x v="1"/>
    <x v="59"/>
    <x v="28"/>
    <x v="59"/>
    <x v="59"/>
    <x v="59"/>
    <n v="59"/>
    <n v="35"/>
    <n v="43"/>
    <s v="Yes"/>
  </r>
  <r>
    <x v="60"/>
    <x v="3"/>
    <x v="4"/>
    <x v="60"/>
    <x v="25"/>
    <x v="60"/>
    <x v="60"/>
    <x v="60"/>
    <n v="20"/>
    <n v="12"/>
    <n v="67"/>
    <s v="Yes"/>
  </r>
  <r>
    <x v="61"/>
    <x v="5"/>
    <x v="1"/>
    <x v="61"/>
    <x v="36"/>
    <x v="61"/>
    <x v="61"/>
    <x v="61"/>
    <n v="47"/>
    <n v="32"/>
    <n v="83"/>
    <s v="Yes"/>
  </r>
  <r>
    <x v="62"/>
    <x v="5"/>
    <x v="2"/>
    <x v="62"/>
    <x v="36"/>
    <x v="62"/>
    <x v="62"/>
    <x v="62"/>
    <n v="76"/>
    <n v="25"/>
    <n v="79"/>
    <s v="No"/>
  </r>
  <r>
    <x v="63"/>
    <x v="5"/>
    <x v="5"/>
    <x v="63"/>
    <x v="0"/>
    <x v="63"/>
    <x v="63"/>
    <x v="63"/>
    <n v="13"/>
    <n v="39"/>
    <n v="47"/>
    <s v="No"/>
  </r>
  <r>
    <x v="64"/>
    <x v="3"/>
    <x v="5"/>
    <x v="64"/>
    <x v="29"/>
    <x v="64"/>
    <x v="64"/>
    <x v="64"/>
    <n v="82"/>
    <n v="25"/>
    <n v="43"/>
    <s v="Yes"/>
  </r>
  <r>
    <x v="65"/>
    <x v="5"/>
    <x v="4"/>
    <x v="65"/>
    <x v="37"/>
    <x v="65"/>
    <x v="65"/>
    <x v="65"/>
    <n v="80"/>
    <n v="23"/>
    <n v="82"/>
    <s v="Yes"/>
  </r>
  <r>
    <x v="66"/>
    <x v="4"/>
    <x v="3"/>
    <x v="66"/>
    <x v="16"/>
    <x v="66"/>
    <x v="66"/>
    <x v="66"/>
    <n v="76"/>
    <n v="58"/>
    <n v="89"/>
    <s v="Yes"/>
  </r>
  <r>
    <x v="67"/>
    <x v="0"/>
    <x v="3"/>
    <x v="67"/>
    <x v="16"/>
    <x v="67"/>
    <x v="67"/>
    <x v="67"/>
    <n v="6"/>
    <n v="51"/>
    <n v="87"/>
    <s v="Yes"/>
  </r>
  <r>
    <x v="68"/>
    <x v="2"/>
    <x v="0"/>
    <x v="68"/>
    <x v="38"/>
    <x v="68"/>
    <x v="68"/>
    <x v="68"/>
    <n v="83"/>
    <n v="50"/>
    <n v="56"/>
    <s v="No"/>
  </r>
  <r>
    <x v="69"/>
    <x v="1"/>
    <x v="0"/>
    <x v="69"/>
    <x v="16"/>
    <x v="69"/>
    <x v="69"/>
    <x v="69"/>
    <n v="14"/>
    <n v="22"/>
    <n v="48"/>
    <s v="No"/>
  </r>
  <r>
    <x v="70"/>
    <x v="5"/>
    <x v="0"/>
    <x v="70"/>
    <x v="39"/>
    <x v="70"/>
    <x v="70"/>
    <x v="70"/>
    <n v="56"/>
    <n v="40"/>
    <n v="100"/>
    <s v="Yes"/>
  </r>
  <r>
    <x v="71"/>
    <x v="2"/>
    <x v="4"/>
    <x v="71"/>
    <x v="17"/>
    <x v="71"/>
    <x v="56"/>
    <x v="71"/>
    <n v="98"/>
    <n v="37"/>
    <n v="55"/>
    <s v="Yes"/>
  </r>
  <r>
    <x v="72"/>
    <x v="5"/>
    <x v="4"/>
    <x v="72"/>
    <x v="40"/>
    <x v="72"/>
    <x v="71"/>
    <x v="72"/>
    <n v="64"/>
    <n v="24"/>
    <n v="77"/>
    <s v="No"/>
  </r>
  <r>
    <x v="73"/>
    <x v="4"/>
    <x v="5"/>
    <x v="73"/>
    <x v="27"/>
    <x v="73"/>
    <x v="72"/>
    <x v="73"/>
    <n v="94"/>
    <n v="42"/>
    <n v="70"/>
    <s v="No"/>
  </r>
  <r>
    <x v="74"/>
    <x v="0"/>
    <x v="4"/>
    <x v="74"/>
    <x v="41"/>
    <x v="74"/>
    <x v="73"/>
    <x v="74"/>
    <n v="34"/>
    <n v="53"/>
    <n v="90"/>
    <s v="No"/>
  </r>
  <r>
    <x v="75"/>
    <x v="2"/>
    <x v="5"/>
    <x v="75"/>
    <x v="8"/>
    <x v="75"/>
    <x v="74"/>
    <x v="75"/>
    <n v="79"/>
    <n v="58"/>
    <n v="62"/>
    <s v="Yes"/>
  </r>
  <r>
    <x v="76"/>
    <x v="4"/>
    <x v="5"/>
    <x v="76"/>
    <x v="2"/>
    <x v="76"/>
    <x v="75"/>
    <x v="76"/>
    <n v="71"/>
    <n v="14"/>
    <n v="97"/>
    <s v="Yes"/>
  </r>
  <r>
    <x v="77"/>
    <x v="4"/>
    <x v="2"/>
    <x v="77"/>
    <x v="18"/>
    <x v="77"/>
    <x v="76"/>
    <x v="77"/>
    <n v="31"/>
    <n v="46"/>
    <n v="52"/>
    <s v="No"/>
  </r>
  <r>
    <x v="78"/>
    <x v="1"/>
    <x v="4"/>
    <x v="78"/>
    <x v="1"/>
    <x v="78"/>
    <x v="77"/>
    <x v="78"/>
    <n v="54"/>
    <n v="30"/>
    <n v="66"/>
    <s v="Yes"/>
  </r>
  <r>
    <x v="79"/>
    <x v="4"/>
    <x v="3"/>
    <x v="79"/>
    <x v="12"/>
    <x v="79"/>
    <x v="78"/>
    <x v="79"/>
    <n v="42"/>
    <n v="16"/>
    <n v="67"/>
    <s v="Yes"/>
  </r>
  <r>
    <x v="80"/>
    <x v="1"/>
    <x v="3"/>
    <x v="80"/>
    <x v="42"/>
    <x v="80"/>
    <x v="79"/>
    <x v="80"/>
    <n v="18"/>
    <n v="15"/>
    <n v="76"/>
    <s v="Yes"/>
  </r>
  <r>
    <x v="81"/>
    <x v="1"/>
    <x v="2"/>
    <x v="81"/>
    <x v="40"/>
    <x v="81"/>
    <x v="80"/>
    <x v="81"/>
    <n v="99"/>
    <n v="41"/>
    <n v="75"/>
    <s v="Yes"/>
  </r>
  <r>
    <x v="82"/>
    <x v="3"/>
    <x v="5"/>
    <x v="82"/>
    <x v="15"/>
    <x v="82"/>
    <x v="81"/>
    <x v="82"/>
    <n v="20"/>
    <n v="34"/>
    <n v="74"/>
    <s v="No"/>
  </r>
  <r>
    <x v="83"/>
    <x v="3"/>
    <x v="1"/>
    <x v="83"/>
    <x v="15"/>
    <x v="83"/>
    <x v="82"/>
    <x v="83"/>
    <n v="65"/>
    <n v="16"/>
    <n v="62"/>
    <s v="No"/>
  </r>
  <r>
    <x v="84"/>
    <x v="3"/>
    <x v="1"/>
    <x v="84"/>
    <x v="14"/>
    <x v="84"/>
    <x v="83"/>
    <x v="84"/>
    <n v="83"/>
    <n v="23"/>
    <n v="74"/>
    <s v="Yes"/>
  </r>
  <r>
    <x v="85"/>
    <x v="3"/>
    <x v="3"/>
    <x v="85"/>
    <x v="43"/>
    <x v="85"/>
    <x v="84"/>
    <x v="85"/>
    <n v="27"/>
    <n v="51"/>
    <n v="75"/>
    <s v="No"/>
  </r>
  <r>
    <x v="86"/>
    <x v="3"/>
    <x v="5"/>
    <x v="86"/>
    <x v="44"/>
    <x v="86"/>
    <x v="85"/>
    <x v="86"/>
    <n v="39"/>
    <n v="33"/>
    <n v="88"/>
    <s v="Yes"/>
  </r>
  <r>
    <x v="87"/>
    <x v="2"/>
    <x v="2"/>
    <x v="87"/>
    <x v="41"/>
    <x v="54"/>
    <x v="86"/>
    <x v="87"/>
    <n v="16"/>
    <n v="35"/>
    <n v="46"/>
    <s v="No"/>
  </r>
  <r>
    <x v="88"/>
    <x v="5"/>
    <x v="0"/>
    <x v="88"/>
    <x v="45"/>
    <x v="87"/>
    <x v="87"/>
    <x v="88"/>
    <n v="91"/>
    <n v="46"/>
    <n v="48"/>
    <s v="No"/>
  </r>
  <r>
    <x v="89"/>
    <x v="0"/>
    <x v="3"/>
    <x v="89"/>
    <x v="32"/>
    <x v="88"/>
    <x v="88"/>
    <x v="89"/>
    <n v="63"/>
    <n v="54"/>
    <n v="72"/>
    <s v="No"/>
  </r>
  <r>
    <x v="90"/>
    <x v="0"/>
    <x v="5"/>
    <x v="90"/>
    <x v="12"/>
    <x v="89"/>
    <x v="89"/>
    <x v="90"/>
    <n v="29"/>
    <n v="57"/>
    <n v="77"/>
    <s v="Yes"/>
  </r>
  <r>
    <x v="91"/>
    <x v="2"/>
    <x v="2"/>
    <x v="91"/>
    <x v="46"/>
    <x v="90"/>
    <x v="90"/>
    <x v="91"/>
    <n v="8"/>
    <n v="44"/>
    <n v="94"/>
    <s v="Yes"/>
  </r>
  <r>
    <x v="92"/>
    <x v="5"/>
    <x v="5"/>
    <x v="92"/>
    <x v="47"/>
    <x v="91"/>
    <x v="91"/>
    <x v="92"/>
    <n v="52"/>
    <n v="33"/>
    <n v="41"/>
    <s v="No"/>
  </r>
  <r>
    <x v="93"/>
    <x v="5"/>
    <x v="3"/>
    <x v="93"/>
    <x v="48"/>
    <x v="92"/>
    <x v="92"/>
    <x v="93"/>
    <n v="10"/>
    <n v="42"/>
    <n v="100"/>
    <s v="No"/>
  </r>
  <r>
    <x v="94"/>
    <x v="2"/>
    <x v="3"/>
    <x v="94"/>
    <x v="28"/>
    <x v="93"/>
    <x v="93"/>
    <x v="94"/>
    <n v="7"/>
    <n v="60"/>
    <n v="98"/>
    <s v="Yes"/>
  </r>
  <r>
    <x v="95"/>
    <x v="1"/>
    <x v="0"/>
    <x v="95"/>
    <x v="35"/>
    <x v="94"/>
    <x v="94"/>
    <x v="95"/>
    <n v="91"/>
    <n v="53"/>
    <n v="65"/>
    <s v="Yes"/>
  </r>
  <r>
    <x v="96"/>
    <x v="1"/>
    <x v="1"/>
    <x v="96"/>
    <x v="45"/>
    <x v="95"/>
    <x v="95"/>
    <x v="96"/>
    <n v="7"/>
    <n v="20"/>
    <n v="81"/>
    <s v="Yes"/>
  </r>
  <r>
    <x v="97"/>
    <x v="4"/>
    <x v="5"/>
    <x v="97"/>
    <x v="16"/>
    <x v="96"/>
    <x v="8"/>
    <x v="97"/>
    <n v="52"/>
    <n v="26"/>
    <n v="100"/>
    <s v="No"/>
  </r>
  <r>
    <x v="98"/>
    <x v="3"/>
    <x v="1"/>
    <x v="98"/>
    <x v="14"/>
    <x v="97"/>
    <x v="96"/>
    <x v="98"/>
    <n v="73"/>
    <n v="23"/>
    <n v="83"/>
    <s v="No"/>
  </r>
  <r>
    <x v="99"/>
    <x v="3"/>
    <x v="1"/>
    <x v="99"/>
    <x v="49"/>
    <x v="98"/>
    <x v="97"/>
    <x v="99"/>
    <n v="43"/>
    <n v="12"/>
    <n v="68"/>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171AA6-9DDB-40F1-9EA9-9C551525BAC0}"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9">
  <location ref="A2:G9" firstHeaderRow="1" firstDataRow="2" firstDataCol="1"/>
  <pivotFields count="3">
    <pivotField axis="axisCol" compact="0" outline="0" showAll="0">
      <items count="7">
        <item x="4"/>
        <item x="1"/>
        <item x="0"/>
        <item x="3"/>
        <item x="2"/>
        <item x="5"/>
        <item t="default"/>
      </items>
    </pivotField>
    <pivotField axis="axisRow" compact="0" outline="0" showAll="0">
      <items count="7">
        <item x="3"/>
        <item x="4"/>
        <item x="5"/>
        <item x="2"/>
        <item x="0"/>
        <item x="1"/>
        <item t="default"/>
      </items>
    </pivotField>
    <pivotField dataField="1" compact="0" outline="0" showAll="0"/>
  </pivotFields>
  <rowFields count="1">
    <field x="1"/>
  </rowFields>
  <rowItems count="6">
    <i>
      <x/>
    </i>
    <i>
      <x v="1"/>
    </i>
    <i>
      <x v="2"/>
    </i>
    <i>
      <x v="3"/>
    </i>
    <i>
      <x v="4"/>
    </i>
    <i>
      <x v="5"/>
    </i>
  </rowItems>
  <colFields count="1">
    <field x="0"/>
  </colFields>
  <colItems count="6">
    <i>
      <x/>
    </i>
    <i>
      <x v="1"/>
    </i>
    <i>
      <x v="2"/>
    </i>
    <i>
      <x v="3"/>
    </i>
    <i>
      <x v="4"/>
    </i>
    <i>
      <x v="5"/>
    </i>
  </colItems>
  <dataFields count="1">
    <dataField name="Average of ESG Score" fld="2" subtotal="average" baseField="0" baseItem="0" numFmtId="166"/>
  </dataFields>
  <formats count="81">
    <format dxfId="130">
      <pivotArea outline="0" collapsedLevelsAreSubtotals="1" fieldPosition="0"/>
    </format>
    <format dxfId="129">
      <pivotArea type="origin" dataOnly="0" labelOnly="1" outline="0" fieldPosition="0"/>
    </format>
    <format dxfId="128">
      <pivotArea field="0" type="button" dataOnly="0" labelOnly="1" outline="0" axis="axisCol" fieldPosition="0"/>
    </format>
    <format dxfId="127">
      <pivotArea type="topRight" dataOnly="0" labelOnly="1" outline="0" fieldPosition="0"/>
    </format>
    <format dxfId="126">
      <pivotArea field="1" type="button" dataOnly="0" labelOnly="1" outline="0" axis="axisRow" fieldPosition="0"/>
    </format>
    <format dxfId="125">
      <pivotArea dataOnly="0" labelOnly="1" outline="0" fieldPosition="0">
        <references count="1">
          <reference field="0" count="0"/>
        </references>
      </pivotArea>
    </format>
    <format dxfId="124">
      <pivotArea dataOnly="0" labelOnly="1" grandCol="1" outline="0" fieldPosition="0"/>
    </format>
    <format dxfId="123">
      <pivotArea outline="0" collapsedLevelsAreSubtotals="1" fieldPosition="0"/>
    </format>
    <format dxfId="122">
      <pivotArea dataOnly="0" labelOnly="1" outline="0" fieldPosition="0">
        <references count="1">
          <reference field="1" count="0"/>
        </references>
      </pivotArea>
    </format>
    <format dxfId="121">
      <pivotArea dataOnly="0" labelOnly="1" grandRow="1" outline="0" fieldPosition="0"/>
    </format>
    <format dxfId="120">
      <pivotArea type="all" dataOnly="0" outline="0" fieldPosition="0"/>
    </format>
    <format dxfId="119">
      <pivotArea outline="0" collapsedLevelsAreSubtotals="1" fieldPosition="0"/>
    </format>
    <format dxfId="118">
      <pivotArea type="origin" dataOnly="0" labelOnly="1" outline="0" fieldPosition="0"/>
    </format>
    <format dxfId="117">
      <pivotArea field="0" type="button" dataOnly="0" labelOnly="1" outline="0" axis="axisCol" fieldPosition="0"/>
    </format>
    <format dxfId="116">
      <pivotArea type="topRight" dataOnly="0" labelOnly="1" outline="0" fieldPosition="0"/>
    </format>
    <format dxfId="115">
      <pivotArea field="1" type="button" dataOnly="0" labelOnly="1" outline="0" axis="axisRow" fieldPosition="0"/>
    </format>
    <format dxfId="114">
      <pivotArea dataOnly="0" labelOnly="1" outline="0" fieldPosition="0">
        <references count="1">
          <reference field="1" count="0"/>
        </references>
      </pivotArea>
    </format>
    <format dxfId="113">
      <pivotArea dataOnly="0" labelOnly="1" grandRow="1" outline="0" fieldPosition="0"/>
    </format>
    <format dxfId="112">
      <pivotArea dataOnly="0" labelOnly="1" outline="0" fieldPosition="0">
        <references count="1">
          <reference field="0" count="0"/>
        </references>
      </pivotArea>
    </format>
    <format dxfId="111">
      <pivotArea dataOnly="0" labelOnly="1" grandCol="1" outline="0" fieldPosition="0"/>
    </format>
    <format dxfId="110">
      <pivotArea type="all" dataOnly="0" outline="0" fieldPosition="0"/>
    </format>
    <format dxfId="109">
      <pivotArea outline="0" collapsedLevelsAreSubtotals="1" fieldPosition="0"/>
    </format>
    <format dxfId="108">
      <pivotArea type="origin" dataOnly="0" labelOnly="1" outline="0" fieldPosition="0"/>
    </format>
    <format dxfId="107">
      <pivotArea field="0" type="button" dataOnly="0" labelOnly="1" outline="0" axis="axisCol" fieldPosition="0"/>
    </format>
    <format dxfId="106">
      <pivotArea type="topRight" dataOnly="0" labelOnly="1" outline="0" fieldPosition="0"/>
    </format>
    <format dxfId="105">
      <pivotArea field="1" type="button" dataOnly="0" labelOnly="1" outline="0" axis="axisRow" fieldPosition="0"/>
    </format>
    <format dxfId="104">
      <pivotArea dataOnly="0" labelOnly="1" outline="0" fieldPosition="0">
        <references count="1">
          <reference field="1" count="0"/>
        </references>
      </pivotArea>
    </format>
    <format dxfId="103">
      <pivotArea dataOnly="0" labelOnly="1" grandRow="1" outline="0" fieldPosition="0"/>
    </format>
    <format dxfId="102">
      <pivotArea dataOnly="0" labelOnly="1" outline="0" fieldPosition="0">
        <references count="1">
          <reference field="0" count="0"/>
        </references>
      </pivotArea>
    </format>
    <format dxfId="101">
      <pivotArea dataOnly="0" labelOnly="1" grandCol="1" outline="0" fieldPosition="0"/>
    </format>
    <format dxfId="100">
      <pivotArea type="origin" dataOnly="0" labelOnly="1" outline="0" fieldPosition="0"/>
    </format>
    <format dxfId="99">
      <pivotArea type="all" dataOnly="0" outline="0" fieldPosition="0"/>
    </format>
    <format dxfId="98">
      <pivotArea outline="0" collapsedLevelsAreSubtotals="1" fieldPosition="0"/>
    </format>
    <format dxfId="97">
      <pivotArea type="origin" dataOnly="0" labelOnly="1" outline="0" fieldPosition="0"/>
    </format>
    <format dxfId="96">
      <pivotArea field="0" type="button" dataOnly="0" labelOnly="1" outline="0" axis="axisCol" fieldPosition="0"/>
    </format>
    <format dxfId="95">
      <pivotArea type="topRight" dataOnly="0" labelOnly="1" outline="0" fieldPosition="0"/>
    </format>
    <format dxfId="94">
      <pivotArea field="1" type="button" dataOnly="0" labelOnly="1" outline="0" axis="axisRow" fieldPosition="0"/>
    </format>
    <format dxfId="93">
      <pivotArea dataOnly="0" labelOnly="1" outline="0" fieldPosition="0">
        <references count="1">
          <reference field="1" count="0"/>
        </references>
      </pivotArea>
    </format>
    <format dxfId="92">
      <pivotArea dataOnly="0" labelOnly="1" grandRow="1" outline="0" fieldPosition="0"/>
    </format>
    <format dxfId="91">
      <pivotArea dataOnly="0" labelOnly="1" outline="0" fieldPosition="0">
        <references count="1">
          <reference field="0" count="0"/>
        </references>
      </pivotArea>
    </format>
    <format dxfId="90">
      <pivotArea dataOnly="0" labelOnly="1" grandCol="1" outline="0" fieldPosition="0"/>
    </format>
    <format dxfId="89">
      <pivotArea type="all" dataOnly="0" outline="0" fieldPosition="0"/>
    </format>
    <format dxfId="88">
      <pivotArea outline="0" collapsedLevelsAreSubtotals="1" fieldPosition="0"/>
    </format>
    <format dxfId="87">
      <pivotArea type="origin" dataOnly="0" labelOnly="1" outline="0" fieldPosition="0"/>
    </format>
    <format dxfId="86">
      <pivotArea field="0" type="button" dataOnly="0" labelOnly="1" outline="0" axis="axisCol" fieldPosition="0"/>
    </format>
    <format dxfId="85">
      <pivotArea type="topRight" dataOnly="0" labelOnly="1" outline="0" fieldPosition="0"/>
    </format>
    <format dxfId="84">
      <pivotArea field="1" type="button" dataOnly="0" labelOnly="1" outline="0" axis="axisRow" fieldPosition="0"/>
    </format>
    <format dxfId="83">
      <pivotArea dataOnly="0" labelOnly="1" outline="0" fieldPosition="0">
        <references count="1">
          <reference field="1" count="0"/>
        </references>
      </pivotArea>
    </format>
    <format dxfId="82">
      <pivotArea dataOnly="0" labelOnly="1" grandRow="1" outline="0" fieldPosition="0"/>
    </format>
    <format dxfId="81">
      <pivotArea dataOnly="0" labelOnly="1" outline="0" fieldPosition="0">
        <references count="1">
          <reference field="0" count="0"/>
        </references>
      </pivotArea>
    </format>
    <format dxfId="80">
      <pivotArea dataOnly="0" labelOnly="1" grandCol="1" outline="0" fieldPosition="0"/>
    </format>
    <format dxfId="79">
      <pivotArea type="all" dataOnly="0" outline="0" fieldPosition="0"/>
    </format>
    <format dxfId="78">
      <pivotArea outline="0" collapsedLevelsAreSubtotals="1" fieldPosition="0"/>
    </format>
    <format dxfId="77">
      <pivotArea type="topRight" dataOnly="0" labelOnly="1" outline="0" fieldPosition="0"/>
    </format>
    <format dxfId="76">
      <pivotArea field="1" type="button" dataOnly="0" labelOnly="1" outline="0" axis="axisRow" fieldPosition="0"/>
    </format>
    <format dxfId="75">
      <pivotArea dataOnly="0" labelOnly="1" outline="0" fieldPosition="0">
        <references count="1">
          <reference field="1" count="0"/>
        </references>
      </pivotArea>
    </format>
    <format dxfId="74">
      <pivotArea dataOnly="0" labelOnly="1" outline="0" fieldPosition="0">
        <references count="1">
          <reference field="0" count="0"/>
        </references>
      </pivotArea>
    </format>
    <format dxfId="73">
      <pivotArea outline="0" fieldPosition="0">
        <references count="1">
          <reference field="0" count="1" selected="0">
            <x v="4"/>
          </reference>
        </references>
      </pivotArea>
    </format>
    <format dxfId="72">
      <pivotArea type="topRight" dataOnly="0" labelOnly="1" outline="0" offset="D1" fieldPosition="0"/>
    </format>
    <format dxfId="71">
      <pivotArea dataOnly="0" labelOnly="1" outline="0" fieldPosition="0">
        <references count="1">
          <reference field="0" count="1">
            <x v="4"/>
          </reference>
        </references>
      </pivotArea>
    </format>
    <format dxfId="70">
      <pivotArea outline="0" fieldPosition="0">
        <references count="1">
          <reference field="0" count="1" selected="0">
            <x v="3"/>
          </reference>
        </references>
      </pivotArea>
    </format>
    <format dxfId="69">
      <pivotArea type="topRight" dataOnly="0" labelOnly="1" outline="0" offset="C1" fieldPosition="0"/>
    </format>
    <format dxfId="68">
      <pivotArea dataOnly="0" labelOnly="1" outline="0" fieldPosition="0">
        <references count="1">
          <reference field="0" count="1">
            <x v="3"/>
          </reference>
        </references>
      </pivotArea>
    </format>
    <format dxfId="67">
      <pivotArea outline="0" fieldPosition="0">
        <references count="1">
          <reference field="0" count="1" selected="0">
            <x v="2"/>
          </reference>
        </references>
      </pivotArea>
    </format>
    <format dxfId="66">
      <pivotArea type="topRight" dataOnly="0" labelOnly="1" outline="0" offset="B1" fieldPosition="0"/>
    </format>
    <format dxfId="65">
      <pivotArea dataOnly="0" labelOnly="1" outline="0" fieldPosition="0">
        <references count="1">
          <reference field="0" count="1">
            <x v="2"/>
          </reference>
        </references>
      </pivotArea>
    </format>
    <format dxfId="64">
      <pivotArea outline="0" fieldPosition="0">
        <references count="1">
          <reference field="0" count="1" selected="0">
            <x v="1"/>
          </reference>
        </references>
      </pivotArea>
    </format>
    <format dxfId="63">
      <pivotArea type="topRight" dataOnly="0" labelOnly="1" outline="0" offset="A1" fieldPosition="0"/>
    </format>
    <format dxfId="62">
      <pivotArea dataOnly="0" labelOnly="1" outline="0" fieldPosition="0">
        <references count="1">
          <reference field="0" count="1">
            <x v="1"/>
          </reference>
        </references>
      </pivotArea>
    </format>
    <format dxfId="61">
      <pivotArea outline="0" fieldPosition="0">
        <references count="1">
          <reference field="0" count="1" selected="0">
            <x v="0"/>
          </reference>
        </references>
      </pivotArea>
    </format>
    <format dxfId="60">
      <pivotArea dataOnly="0" labelOnly="1" outline="0" fieldPosition="0">
        <references count="1">
          <reference field="0" count="1">
            <x v="0"/>
          </reference>
        </references>
      </pivotArea>
    </format>
    <format dxfId="59">
      <pivotArea outline="0" fieldPosition="0">
        <references count="1">
          <reference field="1" count="5" selected="0">
            <x v="0"/>
            <x v="1"/>
            <x v="2"/>
            <x v="3"/>
            <x v="4"/>
          </reference>
        </references>
      </pivotArea>
    </format>
    <format dxfId="58">
      <pivotArea dataOnly="0" labelOnly="1" outline="0" fieldPosition="0">
        <references count="1">
          <reference field="1" count="5">
            <x v="0"/>
            <x v="1"/>
            <x v="2"/>
            <x v="3"/>
            <x v="4"/>
          </reference>
        </references>
      </pivotArea>
    </format>
    <format dxfId="57">
      <pivotArea outline="0" fieldPosition="0">
        <references count="1">
          <reference field="1" count="1" selected="0">
            <x v="1"/>
          </reference>
        </references>
      </pivotArea>
    </format>
    <format dxfId="56">
      <pivotArea dataOnly="0" labelOnly="1" outline="0" fieldPosition="0">
        <references count="1">
          <reference field="1" count="1">
            <x v="1"/>
          </reference>
        </references>
      </pivotArea>
    </format>
    <format dxfId="55">
      <pivotArea outline="0" fieldPosition="0">
        <references count="1">
          <reference field="1" count="1" selected="0">
            <x v="2"/>
          </reference>
        </references>
      </pivotArea>
    </format>
    <format dxfId="54">
      <pivotArea dataOnly="0" labelOnly="1" outline="0" fieldPosition="0">
        <references count="1">
          <reference field="1" count="1">
            <x v="2"/>
          </reference>
        </references>
      </pivotArea>
    </format>
    <format dxfId="53">
      <pivotArea outline="0" fieldPosition="0">
        <references count="1">
          <reference field="1" count="1" selected="0">
            <x v="3"/>
          </reference>
        </references>
      </pivotArea>
    </format>
    <format dxfId="52">
      <pivotArea dataOnly="0" labelOnly="1" outline="0" fieldPosition="0">
        <references count="1">
          <reference field="1" count="1">
            <x v="3"/>
          </reference>
        </references>
      </pivotArea>
    </format>
    <format dxfId="51">
      <pivotArea type="origin" dataOnly="0" labelOnly="1" outline="0" fieldPosition="0"/>
    </format>
    <format dxfId="50">
      <pivotArea field="0" type="button" dataOnly="0" labelOnly="1" outline="0" axis="axisCol" fieldPosition="0"/>
    </format>
  </formats>
  <chartFormats count="7">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3153D7-C38B-459A-8D21-A695226804B9}"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Industry " colHeaderCaption="ESG Score">
  <location ref="R27:U34" firstHeaderRow="0" firstDataRow="1" firstDataCol="1"/>
  <pivotFields count="12">
    <pivotField showAll="0"/>
    <pivotField axis="axisRow" showAll="0">
      <items count="7">
        <item x="4"/>
        <item x="1"/>
        <item x="0"/>
        <item x="3"/>
        <item x="2"/>
        <item x="5"/>
        <item t="default"/>
      </items>
    </pivotField>
    <pivotField showAll="0"/>
    <pivotField showAll="0">
      <items count="101">
        <item x="43"/>
        <item x="49"/>
        <item x="76"/>
        <item x="5"/>
        <item x="10"/>
        <item x="21"/>
        <item x="27"/>
        <item x="57"/>
        <item x="15"/>
        <item x="60"/>
        <item x="67"/>
        <item x="32"/>
        <item x="61"/>
        <item x="31"/>
        <item x="45"/>
        <item x="92"/>
        <item x="94"/>
        <item x="38"/>
        <item x="99"/>
        <item x="79"/>
        <item x="64"/>
        <item x="34"/>
        <item x="41"/>
        <item x="74"/>
        <item x="95"/>
        <item x="16"/>
        <item x="42"/>
        <item x="66"/>
        <item x="8"/>
        <item x="1"/>
        <item x="73"/>
        <item x="47"/>
        <item x="29"/>
        <item x="37"/>
        <item x="72"/>
        <item x="50"/>
        <item x="13"/>
        <item x="36"/>
        <item x="71"/>
        <item x="53"/>
        <item x="22"/>
        <item x="75"/>
        <item x="56"/>
        <item x="62"/>
        <item x="55"/>
        <item x="89"/>
        <item x="9"/>
        <item x="69"/>
        <item x="91"/>
        <item x="77"/>
        <item x="96"/>
        <item x="97"/>
        <item x="12"/>
        <item x="63"/>
        <item x="3"/>
        <item x="70"/>
        <item x="26"/>
        <item x="54"/>
        <item x="7"/>
        <item x="78"/>
        <item x="14"/>
        <item x="20"/>
        <item x="93"/>
        <item x="33"/>
        <item x="65"/>
        <item x="46"/>
        <item x="40"/>
        <item x="2"/>
        <item x="18"/>
        <item x="85"/>
        <item x="82"/>
        <item x="80"/>
        <item x="4"/>
        <item x="24"/>
        <item x="25"/>
        <item x="35"/>
        <item x="28"/>
        <item x="17"/>
        <item x="90"/>
        <item x="83"/>
        <item x="86"/>
        <item x="44"/>
        <item x="51"/>
        <item x="87"/>
        <item x="59"/>
        <item x="48"/>
        <item x="81"/>
        <item x="84"/>
        <item x="68"/>
        <item x="23"/>
        <item x="6"/>
        <item x="11"/>
        <item x="19"/>
        <item x="88"/>
        <item x="58"/>
        <item x="98"/>
        <item x="39"/>
        <item x="52"/>
        <item x="0"/>
        <item x="30"/>
        <item t="default"/>
      </items>
    </pivotField>
    <pivotField showAll="0" sortType="descending">
      <items count="51">
        <item x="5"/>
        <item x="22"/>
        <item x="35"/>
        <item x="37"/>
        <item x="34"/>
        <item x="13"/>
        <item x="15"/>
        <item x="33"/>
        <item x="31"/>
        <item x="41"/>
        <item x="49"/>
        <item x="8"/>
        <item x="1"/>
        <item x="29"/>
        <item x="48"/>
        <item x="2"/>
        <item x="47"/>
        <item x="20"/>
        <item x="46"/>
        <item x="43"/>
        <item x="9"/>
        <item x="28"/>
        <item x="10"/>
        <item x="44"/>
        <item x="16"/>
        <item x="12"/>
        <item x="39"/>
        <item x="4"/>
        <item x="17"/>
        <item x="30"/>
        <item x="32"/>
        <item x="42"/>
        <item x="25"/>
        <item x="3"/>
        <item x="11"/>
        <item x="14"/>
        <item x="18"/>
        <item x="26"/>
        <item x="27"/>
        <item x="38"/>
        <item x="45"/>
        <item x="0"/>
        <item x="21"/>
        <item x="23"/>
        <item x="6"/>
        <item x="24"/>
        <item x="19"/>
        <item x="40"/>
        <item x="36"/>
        <item x="7"/>
        <item t="default"/>
      </items>
    </pivotField>
    <pivotField dataField="1" showAll="0">
      <items count="100">
        <item x="95"/>
        <item x="50"/>
        <item x="20"/>
        <item x="83"/>
        <item x="76"/>
        <item x="3"/>
        <item x="94"/>
        <item x="72"/>
        <item x="5"/>
        <item x="45"/>
        <item x="40"/>
        <item x="79"/>
        <item x="92"/>
        <item x="25"/>
        <item x="30"/>
        <item x="84"/>
        <item x="46"/>
        <item x="0"/>
        <item x="86"/>
        <item x="68"/>
        <item x="10"/>
        <item x="93"/>
        <item x="80"/>
        <item x="48"/>
        <item x="22"/>
        <item x="74"/>
        <item x="32"/>
        <item x="53"/>
        <item x="51"/>
        <item x="34"/>
        <item x="90"/>
        <item x="88"/>
        <item x="4"/>
        <item x="36"/>
        <item x="66"/>
        <item x="35"/>
        <item x="70"/>
        <item x="55"/>
        <item x="6"/>
        <item x="8"/>
        <item x="15"/>
        <item x="41"/>
        <item x="59"/>
        <item x="37"/>
        <item x="96"/>
        <item x="64"/>
        <item x="97"/>
        <item x="17"/>
        <item x="69"/>
        <item x="81"/>
        <item x="13"/>
        <item x="24"/>
        <item x="82"/>
        <item x="9"/>
        <item x="26"/>
        <item x="42"/>
        <item x="58"/>
        <item x="89"/>
        <item x="14"/>
        <item x="27"/>
        <item x="21"/>
        <item x="75"/>
        <item x="31"/>
        <item x="49"/>
        <item x="39"/>
        <item x="23"/>
        <item x="77"/>
        <item x="1"/>
        <item x="47"/>
        <item x="43"/>
        <item x="67"/>
        <item x="7"/>
        <item x="38"/>
        <item x="18"/>
        <item x="12"/>
        <item x="33"/>
        <item x="91"/>
        <item x="56"/>
        <item x="11"/>
        <item x="78"/>
        <item x="87"/>
        <item x="2"/>
        <item x="65"/>
        <item x="71"/>
        <item x="54"/>
        <item x="73"/>
        <item x="85"/>
        <item x="62"/>
        <item x="60"/>
        <item x="57"/>
        <item x="28"/>
        <item x="19"/>
        <item x="29"/>
        <item x="63"/>
        <item x="61"/>
        <item x="52"/>
        <item x="44"/>
        <item x="16"/>
        <item x="98"/>
        <item t="default"/>
      </items>
    </pivotField>
    <pivotField dataField="1" showAll="0">
      <items count="99">
        <item x="57"/>
        <item x="62"/>
        <item x="30"/>
        <item x="37"/>
        <item x="35"/>
        <item x="52"/>
        <item x="28"/>
        <item x="60"/>
        <item x="77"/>
        <item x="73"/>
        <item x="36"/>
        <item x="32"/>
        <item x="17"/>
        <item x="21"/>
        <item x="39"/>
        <item x="79"/>
        <item x="71"/>
        <item x="29"/>
        <item x="13"/>
        <item x="88"/>
        <item x="43"/>
        <item x="0"/>
        <item x="46"/>
        <item x="23"/>
        <item x="11"/>
        <item x="76"/>
        <item x="75"/>
        <item x="87"/>
        <item x="90"/>
        <item x="84"/>
        <item x="4"/>
        <item x="2"/>
        <item x="49"/>
        <item x="42"/>
        <item x="31"/>
        <item x="19"/>
        <item x="25"/>
        <item x="51"/>
        <item x="20"/>
        <item x="61"/>
        <item x="59"/>
        <item x="47"/>
        <item x="89"/>
        <item x="48"/>
        <item x="97"/>
        <item x="96"/>
        <item x="54"/>
        <item x="86"/>
        <item x="95"/>
        <item x="40"/>
        <item x="85"/>
        <item x="33"/>
        <item x="91"/>
        <item x="72"/>
        <item x="6"/>
        <item x="82"/>
        <item x="78"/>
        <item x="26"/>
        <item x="38"/>
        <item x="22"/>
        <item x="3"/>
        <item x="27"/>
        <item x="58"/>
        <item x="9"/>
        <item x="67"/>
        <item x="8"/>
        <item x="74"/>
        <item x="55"/>
        <item x="14"/>
        <item x="41"/>
        <item x="94"/>
        <item x="93"/>
        <item x="34"/>
        <item x="81"/>
        <item x="56"/>
        <item x="68"/>
        <item x="80"/>
        <item x="66"/>
        <item x="50"/>
        <item x="15"/>
        <item x="24"/>
        <item x="83"/>
        <item x="1"/>
        <item x="44"/>
        <item x="45"/>
        <item x="16"/>
        <item x="69"/>
        <item x="18"/>
        <item x="7"/>
        <item x="5"/>
        <item x="92"/>
        <item x="10"/>
        <item x="12"/>
        <item x="70"/>
        <item x="65"/>
        <item x="53"/>
        <item x="64"/>
        <item x="63"/>
        <item t="default"/>
      </items>
    </pivotField>
    <pivotField dataField="1" showAll="0">
      <items count="101">
        <item x="90"/>
        <item x="34"/>
        <item x="41"/>
        <item x="47"/>
        <item x="27"/>
        <item x="63"/>
        <item x="52"/>
        <item x="42"/>
        <item x="81"/>
        <item x="86"/>
        <item x="31"/>
        <item x="58"/>
        <item x="82"/>
        <item x="19"/>
        <item x="96"/>
        <item x="17"/>
        <item x="18"/>
        <item x="69"/>
        <item x="67"/>
        <item x="33"/>
        <item x="22"/>
        <item x="25"/>
        <item x="71"/>
        <item x="40"/>
        <item x="48"/>
        <item x="88"/>
        <item x="28"/>
        <item x="20"/>
        <item x="45"/>
        <item x="92"/>
        <item x="72"/>
        <item x="70"/>
        <item x="94"/>
        <item x="8"/>
        <item x="44"/>
        <item x="66"/>
        <item x="5"/>
        <item x="10"/>
        <item x="26"/>
        <item x="54"/>
        <item x="37"/>
        <item x="12"/>
        <item x="87"/>
        <item x="3"/>
        <item x="29"/>
        <item x="55"/>
        <item x="73"/>
        <item x="1"/>
        <item x="59"/>
        <item x="30"/>
        <item x="65"/>
        <item x="98"/>
        <item x="46"/>
        <item x="43"/>
        <item x="23"/>
        <item x="11"/>
        <item x="0"/>
        <item x="24"/>
        <item x="89"/>
        <item x="32"/>
        <item x="14"/>
        <item x="75"/>
        <item x="56"/>
        <item x="80"/>
        <item x="97"/>
        <item x="57"/>
        <item x="60"/>
        <item x="61"/>
        <item x="35"/>
        <item x="77"/>
        <item x="85"/>
        <item x="16"/>
        <item x="51"/>
        <item x="36"/>
        <item x="91"/>
        <item x="99"/>
        <item x="84"/>
        <item x="2"/>
        <item x="7"/>
        <item x="21"/>
        <item x="38"/>
        <item x="74"/>
        <item x="76"/>
        <item x="39"/>
        <item x="49"/>
        <item x="68"/>
        <item x="53"/>
        <item x="83"/>
        <item x="79"/>
        <item x="62"/>
        <item x="78"/>
        <item x="13"/>
        <item x="15"/>
        <item x="93"/>
        <item x="50"/>
        <item x="4"/>
        <item x="95"/>
        <item x="6"/>
        <item x="64"/>
        <item x="9"/>
        <item t="default"/>
      </items>
    </pivotField>
    <pivotField showAll="0"/>
    <pivotField showAll="0"/>
    <pivotField showAll="0"/>
    <pivotField showAll="0"/>
  </pivotFields>
  <rowFields count="1">
    <field x="1"/>
  </rowFields>
  <rowItems count="7">
    <i>
      <x/>
    </i>
    <i>
      <x v="1"/>
    </i>
    <i>
      <x v="2"/>
    </i>
    <i>
      <x v="3"/>
    </i>
    <i>
      <x v="4"/>
    </i>
    <i>
      <x v="5"/>
    </i>
    <i t="grand">
      <x/>
    </i>
  </rowItems>
  <colFields count="1">
    <field x="-2"/>
  </colFields>
  <colItems count="3">
    <i>
      <x/>
    </i>
    <i i="1">
      <x v="1"/>
    </i>
    <i i="2">
      <x v="2"/>
    </i>
  </colItems>
  <dataFields count="3">
    <dataField name="Scope 1 " fld="5" baseField="1" baseItem="0"/>
    <dataField name="Scope 2 " fld="6" baseField="1" baseItem="0"/>
    <dataField name="Scope 3 " fld="7" baseField="1" baseItem="0"/>
  </dataFields>
  <formats count="24">
    <format dxfId="174">
      <pivotArea type="all" dataOnly="0" outline="0" fieldPosition="0"/>
    </format>
    <format dxfId="173">
      <pivotArea outline="0" collapsedLevelsAreSubtotals="1" fieldPosition="0"/>
    </format>
    <format dxfId="172">
      <pivotArea field="1" type="button" dataOnly="0" labelOnly="1" outline="0" axis="axisRow" fieldPosition="0"/>
    </format>
    <format dxfId="171">
      <pivotArea dataOnly="0" labelOnly="1" fieldPosition="0">
        <references count="1">
          <reference field="1" count="0"/>
        </references>
      </pivotArea>
    </format>
    <format dxfId="170">
      <pivotArea dataOnly="0" labelOnly="1" grandRow="1" outline="0" fieldPosition="0"/>
    </format>
    <format dxfId="169">
      <pivotArea dataOnly="0" labelOnly="1" outline="0" fieldPosition="0">
        <references count="1">
          <reference field="4294967294" count="3">
            <x v="0"/>
            <x v="1"/>
            <x v="2"/>
          </reference>
        </references>
      </pivotArea>
    </format>
    <format dxfId="168">
      <pivotArea type="all" dataOnly="0" outline="0" fieldPosition="0"/>
    </format>
    <format dxfId="167">
      <pivotArea outline="0" collapsedLevelsAreSubtotals="1" fieldPosition="0"/>
    </format>
    <format dxfId="166">
      <pivotArea field="1" type="button" dataOnly="0" labelOnly="1" outline="0" axis="axisRow" fieldPosition="0"/>
    </format>
    <format dxfId="165">
      <pivotArea dataOnly="0" labelOnly="1" fieldPosition="0">
        <references count="1">
          <reference field="1" count="0"/>
        </references>
      </pivotArea>
    </format>
    <format dxfId="164">
      <pivotArea dataOnly="0" labelOnly="1" grandRow="1" outline="0" fieldPosition="0"/>
    </format>
    <format dxfId="163">
      <pivotArea dataOnly="0" labelOnly="1" outline="0" fieldPosition="0">
        <references count="1">
          <reference field="4294967294" count="3">
            <x v="0"/>
            <x v="1"/>
            <x v="2"/>
          </reference>
        </references>
      </pivotArea>
    </format>
    <format dxfId="162">
      <pivotArea collapsedLevelsAreSubtotals="1" fieldPosition="0">
        <references count="1">
          <reference field="1" count="0"/>
        </references>
      </pivotArea>
    </format>
    <format dxfId="161">
      <pivotArea type="all" dataOnly="0" outline="0" fieldPosition="0"/>
    </format>
    <format dxfId="160">
      <pivotArea outline="0" collapsedLevelsAreSubtotals="1" fieldPosition="0"/>
    </format>
    <format dxfId="159">
      <pivotArea field="1" type="button" dataOnly="0" labelOnly="1" outline="0" axis="axisRow" fieldPosition="0"/>
    </format>
    <format dxfId="158">
      <pivotArea dataOnly="0" labelOnly="1" fieldPosition="0">
        <references count="1">
          <reference field="1" count="0"/>
        </references>
      </pivotArea>
    </format>
    <format dxfId="157">
      <pivotArea dataOnly="0" labelOnly="1" grandRow="1" outline="0" fieldPosition="0"/>
    </format>
    <format dxfId="156">
      <pivotArea dataOnly="0" labelOnly="1" outline="0" fieldPosition="0">
        <references count="1">
          <reference field="4294967294" count="3">
            <x v="0"/>
            <x v="1"/>
            <x v="2"/>
          </reference>
        </references>
      </pivotArea>
    </format>
    <format dxfId="155">
      <pivotArea field="1" type="button" dataOnly="0" labelOnly="1" outline="0" axis="axisRow" fieldPosition="0"/>
    </format>
    <format dxfId="154">
      <pivotArea dataOnly="0" labelOnly="1" outline="0" fieldPosition="0">
        <references count="1">
          <reference field="4294967294" count="1">
            <x v="0"/>
          </reference>
        </references>
      </pivotArea>
    </format>
    <format dxfId="153">
      <pivotArea dataOnly="0" labelOnly="1" outline="0" fieldPosition="0">
        <references count="1">
          <reference field="4294967294" count="2">
            <x v="1"/>
            <x v="2"/>
          </reference>
        </references>
      </pivotArea>
    </format>
    <format dxfId="152">
      <pivotArea grandRow="1" outline="0" collapsedLevelsAreSubtotals="1" fieldPosition="0"/>
    </format>
    <format dxfId="151">
      <pivotArea dataOnly="0" labelOnly="1" grandRow="1" outline="0" fieldPosition="0"/>
    </format>
  </formats>
  <chartFormats count="6">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pivotArea type="data" outline="0" fieldPosition="0">
        <references count="2">
          <reference field="4294967294" count="1" selected="0">
            <x v="1"/>
          </reference>
          <reference field="1" count="1" selected="0">
            <x v="0"/>
          </reference>
        </references>
      </pivotArea>
    </chartFormat>
    <chartFormat chart="4" format="4">
      <pivotArea type="data" outline="0" fieldPosition="0">
        <references count="2">
          <reference field="4294967294" count="1" selected="0">
            <x v="1"/>
          </reference>
          <reference field="1" count="1" selected="0">
            <x v="3"/>
          </reference>
        </references>
      </pivotArea>
    </chartFormat>
    <chartFormat chart="4" format="5">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8AD9ADE-045D-4429-A36E-0971BCFDFDC8}"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Industry">
  <location ref="N28:O34" firstHeaderRow="1" firstDataRow="1" firstDataCol="1"/>
  <pivotFields count="12">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Row" showAll="0">
      <items count="7">
        <item x="4"/>
        <item x="1"/>
        <item x="0"/>
        <item x="3"/>
        <item x="2"/>
        <item x="5"/>
        <item t="default"/>
      </items>
    </pivotField>
    <pivotField showAll="0"/>
    <pivotField showAll="0"/>
    <pivotField dataField="1" showAll="0"/>
    <pivotField showAll="0"/>
    <pivotField showAll="0"/>
    <pivotField showAll="0"/>
    <pivotField showAll="0"/>
    <pivotField showAll="0"/>
    <pivotField showAll="0"/>
    <pivotField showAll="0"/>
  </pivotFields>
  <rowFields count="1">
    <field x="1"/>
  </rowFields>
  <rowItems count="6">
    <i>
      <x/>
    </i>
    <i>
      <x v="1"/>
    </i>
    <i>
      <x v="2"/>
    </i>
    <i>
      <x v="3"/>
    </i>
    <i>
      <x v="4"/>
    </i>
    <i>
      <x v="5"/>
    </i>
  </rowItems>
  <colItems count="1">
    <i/>
  </colItems>
  <dataFields count="1">
    <dataField name="Average of ESG Score" fld="4" subtotal="average" baseField="0" baseItem="0" numFmtId="1"/>
  </dataFields>
  <formats count="23">
    <format dxfId="197">
      <pivotArea collapsedLevelsAreSubtotals="1" fieldPosition="0">
        <references count="1">
          <reference field="1" count="0"/>
        </references>
      </pivotArea>
    </format>
    <format dxfId="196">
      <pivotArea type="all" dataOnly="0" outline="0" fieldPosition="0"/>
    </format>
    <format dxfId="195">
      <pivotArea outline="0" collapsedLevelsAreSubtotals="1" fieldPosition="0"/>
    </format>
    <format dxfId="194">
      <pivotArea field="1" type="button" dataOnly="0" labelOnly="1" outline="0" axis="axisRow" fieldPosition="0"/>
    </format>
    <format dxfId="193">
      <pivotArea dataOnly="0" labelOnly="1" fieldPosition="0">
        <references count="1">
          <reference field="1" count="0"/>
        </references>
      </pivotArea>
    </format>
    <format dxfId="192">
      <pivotArea dataOnly="0" labelOnly="1" grandRow="1" outline="0" fieldPosition="0"/>
    </format>
    <format dxfId="191">
      <pivotArea dataOnly="0" labelOnly="1" outline="0" axis="axisValues" fieldPosition="0"/>
    </format>
    <format dxfId="190">
      <pivotArea type="all" dataOnly="0" outline="0" fieldPosition="0"/>
    </format>
    <format dxfId="189">
      <pivotArea outline="0" collapsedLevelsAreSubtotals="1" fieldPosition="0"/>
    </format>
    <format dxfId="188">
      <pivotArea field="1" type="button" dataOnly="0" labelOnly="1" outline="0" axis="axisRow" fieldPosition="0"/>
    </format>
    <format dxfId="187">
      <pivotArea dataOnly="0" labelOnly="1" fieldPosition="0">
        <references count="1">
          <reference field="1" count="0"/>
        </references>
      </pivotArea>
    </format>
    <format dxfId="186">
      <pivotArea dataOnly="0" labelOnly="1" grandRow="1" outline="0" fieldPosition="0"/>
    </format>
    <format dxfId="185">
      <pivotArea dataOnly="0" labelOnly="1" outline="0" axis="axisValues" fieldPosition="0"/>
    </format>
    <format dxfId="184">
      <pivotArea collapsedLevelsAreSubtotals="1" fieldPosition="0">
        <references count="1">
          <reference field="1" count="0"/>
        </references>
      </pivotArea>
    </format>
    <format dxfId="183">
      <pivotArea type="all" dataOnly="0" outline="0" fieldPosition="0"/>
    </format>
    <format dxfId="182">
      <pivotArea outline="0" collapsedLevelsAreSubtotals="1" fieldPosition="0"/>
    </format>
    <format dxfId="181">
      <pivotArea field="1" type="button" dataOnly="0" labelOnly="1" outline="0" axis="axisRow" fieldPosition="0"/>
    </format>
    <format dxfId="180">
      <pivotArea dataOnly="0" labelOnly="1" fieldPosition="0">
        <references count="1">
          <reference field="1" count="0"/>
        </references>
      </pivotArea>
    </format>
    <format dxfId="179">
      <pivotArea dataOnly="0" labelOnly="1" grandRow="1" outline="0" fieldPosition="0"/>
    </format>
    <format dxfId="178">
      <pivotArea dataOnly="0" labelOnly="1" outline="0" axis="axisValues" fieldPosition="0"/>
    </format>
    <format dxfId="177">
      <pivotArea field="1" type="button" dataOnly="0" labelOnly="1" outline="0" axis="axisRow" fieldPosition="0"/>
    </format>
    <format dxfId="176">
      <pivotArea dataOnly="0" outline="0" axis="axisValues" fieldPosition="0"/>
    </format>
    <format dxfId="175">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98ED32-ED66-45FD-BBC4-DCC34CBFBC84}"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Country">
  <location ref="Z27:AA34" firstHeaderRow="1" firstDataRow="1" firstDataCol="1"/>
  <pivotFields count="12">
    <pivotField showAll="0"/>
    <pivotField dataField="1" showAll="0"/>
    <pivotField axis="axisRow" showAll="0">
      <items count="7">
        <item x="3"/>
        <item x="4"/>
        <item x="5"/>
        <item x="2"/>
        <item x="0"/>
        <item x="1"/>
        <item t="default"/>
      </items>
    </pivotField>
    <pivotField showAll="0"/>
    <pivotField showAll="0"/>
    <pivotField showAll="0"/>
    <pivotField showAll="0"/>
    <pivotField showAll="0"/>
    <pivotField showAll="0"/>
    <pivotField showAll="0"/>
    <pivotField showAll="0"/>
    <pivotField showAll="0"/>
  </pivotFields>
  <rowFields count="1">
    <field x="2"/>
  </rowFields>
  <rowItems count="7">
    <i>
      <x/>
    </i>
    <i>
      <x v="1"/>
    </i>
    <i>
      <x v="2"/>
    </i>
    <i>
      <x v="3"/>
    </i>
    <i>
      <x v="4"/>
    </i>
    <i>
      <x v="5"/>
    </i>
    <i t="grand">
      <x/>
    </i>
  </rowItems>
  <colItems count="1">
    <i/>
  </colItems>
  <dataFields count="1">
    <dataField name="Count of Industry " fld="1" subtotal="count" baseField="0" baseItem="0"/>
  </dataFields>
  <formats count="23">
    <format dxfId="220">
      <pivotArea type="all" dataOnly="0" outline="0" fieldPosition="0"/>
    </format>
    <format dxfId="219">
      <pivotArea outline="0" collapsedLevelsAreSubtotals="1" fieldPosition="0"/>
    </format>
    <format dxfId="218">
      <pivotArea field="2" type="button" dataOnly="0" labelOnly="1" outline="0" axis="axisRow" fieldPosition="0"/>
    </format>
    <format dxfId="217">
      <pivotArea dataOnly="0" labelOnly="1" fieldPosition="0">
        <references count="1">
          <reference field="2" count="0"/>
        </references>
      </pivotArea>
    </format>
    <format dxfId="216">
      <pivotArea dataOnly="0" labelOnly="1" grandRow="1" outline="0" fieldPosition="0"/>
    </format>
    <format dxfId="215">
      <pivotArea dataOnly="0" labelOnly="1" outline="0" axis="axisValues" fieldPosition="0"/>
    </format>
    <format dxfId="214">
      <pivotArea type="all" dataOnly="0" outline="0" fieldPosition="0"/>
    </format>
    <format dxfId="213">
      <pivotArea outline="0" collapsedLevelsAreSubtotals="1" fieldPosition="0"/>
    </format>
    <format dxfId="212">
      <pivotArea field="2" type="button" dataOnly="0" labelOnly="1" outline="0" axis="axisRow" fieldPosition="0"/>
    </format>
    <format dxfId="211">
      <pivotArea dataOnly="0" labelOnly="1" grandRow="1" outline="0" fieldPosition="0"/>
    </format>
    <format dxfId="210">
      <pivotArea dataOnly="0" labelOnly="1" outline="0" axis="axisValues" fieldPosition="0"/>
    </format>
    <format dxfId="209">
      <pivotArea collapsedLevelsAreSubtotals="1" fieldPosition="0">
        <references count="1">
          <reference field="2" count="0"/>
        </references>
      </pivotArea>
    </format>
    <format dxfId="208">
      <pivotArea dataOnly="0" labelOnly="1" fieldPosition="0">
        <references count="1">
          <reference field="2" count="0"/>
        </references>
      </pivotArea>
    </format>
    <format dxfId="207">
      <pivotArea type="all" dataOnly="0" outline="0" fieldPosition="0"/>
    </format>
    <format dxfId="206">
      <pivotArea outline="0" collapsedLevelsAreSubtotals="1" fieldPosition="0"/>
    </format>
    <format dxfId="205">
      <pivotArea field="2" type="button" dataOnly="0" labelOnly="1" outline="0" axis="axisRow" fieldPosition="0"/>
    </format>
    <format dxfId="204">
      <pivotArea dataOnly="0" labelOnly="1" fieldPosition="0">
        <references count="1">
          <reference field="2" count="0"/>
        </references>
      </pivotArea>
    </format>
    <format dxfId="203">
      <pivotArea dataOnly="0" labelOnly="1" grandRow="1" outline="0" fieldPosition="0"/>
    </format>
    <format dxfId="202">
      <pivotArea dataOnly="0" labelOnly="1" outline="0" axis="axisValues" fieldPosition="0"/>
    </format>
    <format dxfId="201">
      <pivotArea field="2" type="button" dataOnly="0" labelOnly="1" outline="0" axis="axisRow" fieldPosition="0"/>
    </format>
    <format dxfId="200">
      <pivotArea dataOnly="0" labelOnly="1" outline="0" axis="axisValues" fieldPosition="0"/>
    </format>
    <format dxfId="199">
      <pivotArea grandRow="1" outline="0" collapsedLevelsAreSubtotals="1" fieldPosition="0"/>
    </format>
    <format dxfId="198">
      <pivotArea dataOnly="0" labelOnly="1" grandRow="1" outline="0" fieldPosition="0"/>
    </format>
  </formats>
  <chartFormats count="7">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 count="1" selected="0">
            <x v="0"/>
          </reference>
        </references>
      </pivotArea>
    </chartFormat>
    <chartFormat chart="1" format="2">
      <pivotArea type="data" outline="0" fieldPosition="0">
        <references count="2">
          <reference field="4294967294" count="1" selected="0">
            <x v="0"/>
          </reference>
          <reference field="2" count="1" selected="0">
            <x v="4"/>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9C06E4E6-F636-468B-963C-CD56E1B16FAE}" sourceName="Industry">
  <pivotTables>
    <pivotTable tabId="7" name="PivotTable1"/>
  </pivotTables>
  <data>
    <tabular pivotCacheId="1771508899">
      <items count="6">
        <i x="4" s="1"/>
        <i x="1" s="1"/>
        <i x="0" s="1"/>
        <i x="3" s="1"/>
        <i x="2"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1" xr10:uid="{F6DD74C4-9338-4353-8052-865B4ACD52B0}" sourceName="Industry ">
  <pivotTables>
    <pivotTable tabId="6" name="PivotTable4"/>
    <pivotTable tabId="6" name="PivotTable6"/>
  </pivotTables>
  <data>
    <tabular pivotCacheId="1109750136">
      <items count="6">
        <i x="4" s="1"/>
        <i x="1" s="1"/>
        <i x="0" s="1"/>
        <i x="3" s="1"/>
        <i x="2"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BC7C6DF-EA9F-4B1F-9D8D-C8C6D6FDAB97}" sourceName="Country">
  <pivotTables>
    <pivotTable tabId="6" name="PivotTable7"/>
  </pivotTables>
  <data>
    <tabular pivotCacheId="1109750136">
      <items count="6">
        <i x="3" s="1"/>
        <i x="4" s="1"/>
        <i x="5" s="1"/>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xr10:uid="{23154B89-16DC-4125-9914-90B820A0969E}" cache="Slicer_Industry" caption="Industry" columnCount="6" showCaption="0" style="Slicer Style 2" rowHeight="361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 xr10:uid="{6DF50EB8-0816-4D55-945D-44577F5E955B}" cache="Slicer_Industry1" caption="Industry " columnCount="6" showCaption="0" style="Slicer Style 1" rowHeight="365760"/>
  <slicer name="Country" xr10:uid="{D7105116-D629-4D21-8D5C-BB1FE18E93E1}" cache="Slicer_Country" caption="Country" columnCount="6" showCaption="0" style="Slicer Style 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F71CEF-66F4-4965-803A-FB64CE04D26A}" name="Table1" displayName="Table1" ref="K1:O101" totalsRowShown="0">
  <autoFilter ref="K1:O101" xr:uid="{69F71CEF-66F4-4965-803A-FB64CE04D26A}"/>
  <tableColumns count="5">
    <tableColumn id="1" xr3:uid="{291ED8A1-31B5-4A9D-A976-E7E58BB52010}" name="ESG Score (vlookup)">
      <calculatedColumnFormula>VLOOKUP(Governance!A2,Governance!A2:E101,5,FALSE)</calculatedColumnFormula>
    </tableColumn>
    <tableColumn id="2" xr3:uid="{5C655F7E-8A2A-4EFC-AD97-9A9E8757D0E7}" name="ESG Score (xlookup)">
      <calculatedColumnFormula>_xlfn.XLOOKUP(Governance!A2,Governance!$A$2:$A$101,Governance!$E$2:$E$101,"Not Found",0)</calculatedColumnFormula>
    </tableColumn>
    <tableColumn id="3" xr3:uid="{93716161-D695-4CB1-8915-5B0B489903F5}" name="IFERROR">
      <calculatedColumnFormula>IFERROR(K2,"Not Found")</calculatedColumnFormula>
    </tableColumn>
    <tableColumn id="4" xr3:uid="{6AF2029D-EA3A-49DF-A5F3-912706FC2885}" name="ESG Risk Tier (IFS) " dataDxfId="136">
      <calculatedColumnFormula array="1">_xlfn.IFS(L2&gt;=80,"Low Risk",L2&gt;=50,"Medium Risk",TRUE,"High Risk")</calculatedColumnFormula>
    </tableColumn>
    <tableColumn id="5" xr3:uid="{1A64A11C-BDA5-4110-8679-BD9A1C923359}" name="Scope 1 Emissions (Index/match)">
      <calculatedColumnFormula>INDEX(Environmental!$A$2:$I$101,MATCH(Environmental!C2,Environmental!$C$2:$C$101,0),3)</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E17BCA-DAA9-4674-AA35-64255D075395}" name="Table2" displayName="Table2" ref="K1:N101" totalsRowShown="0">
  <autoFilter ref="K1:N101" xr:uid="{ACE17BCA-DAA9-4674-AA35-64255D075395}"/>
  <tableColumns count="4">
    <tableColumn id="1" xr3:uid="{168DA17C-0C5D-4CB3-B9C9-6981ABEA9209}" name="Renewable % (normalized)" dataDxfId="134">
      <calculatedColumnFormula>(Environmental!G2-MIN(Environmental!$G$2:$G$101))/(MAX(Environmental!$G$2:$G$101)-MIN(Environmental!$G$2:$G$101))*100</calculatedColumnFormula>
    </tableColumn>
    <tableColumn id="2" xr3:uid="{FEF76615-AAA1-4AEB-882A-96F50D58E2F7}" name="Women leadership % (normalized)" dataDxfId="133">
      <calculatedColumnFormula>(Social!C2-MIN(Social!$C$2:$C$101))/(MAX(Social!$C$2:$C$101)-MIN(Social!$C$2:$C$101))*100</calculatedColumnFormula>
    </tableColumn>
    <tableColumn id="3" xr3:uid="{93A5B762-AE5B-47DA-B4B8-E854944F54CA}" name="ESG Score (normalized)" dataDxfId="132">
      <calculatedColumnFormula>(E2-MIN($E$2:$E$101))/(MAX($E$2:$E$101)-MIN($E$2:$E$101))*100</calculatedColumnFormula>
    </tableColumn>
    <tableColumn id="4" xr3:uid="{F12E7CE0-1719-46F0-9477-5AB15CA17147}" name="Weighted composite ESG Score " dataDxfId="131">
      <calculatedColumnFormula>(0.4*K2)+(0.3*L2)+(0.3*M2)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2261C37-A10C-4C00-84A3-4000D22BD36C}" name="Table3" displayName="Table3" ref="A1:L101" totalsRowShown="0" headerRowDxfId="150" dataDxfId="149">
  <autoFilter ref="A1:L101" xr:uid="{62261C37-A10C-4C00-84A3-4000D22BD36C}"/>
  <tableColumns count="12">
    <tableColumn id="1" xr3:uid="{A5AAEC88-B08A-4BE9-907D-FBDC395C1174}" name="Company ID" dataDxfId="148">
      <calculatedColumnFormula>INDEX(Company_Master!$A$2:$A$101,MATCH(Company_Master!A2,Company_Master!$A$2:$A$101,0))</calculatedColumnFormula>
    </tableColumn>
    <tableColumn id="2" xr3:uid="{E221E252-6083-4A62-A3E9-1C102DD51B2A}" name="Industry " dataDxfId="147">
      <calculatedColumnFormula>INDEX(Company_Master!$C$2:$C$101,MATCH(Company_Master!C2,Company_Master!$C$2:$C$101,0))</calculatedColumnFormula>
    </tableColumn>
    <tableColumn id="3" xr3:uid="{A0166257-F545-43AF-AA6E-5B1B123F79F2}" name="Country" dataDxfId="146">
      <calculatedColumnFormula>_xlfn.XLOOKUP(A2,A2:A101,Company_Master!D2:D101,0)</calculatedColumnFormula>
    </tableColumn>
    <tableColumn id="4" xr3:uid="{CC9112A5-C31F-40B7-97AC-7D281059915F}" name="Revenue ($M)" dataDxfId="145">
      <calculatedColumnFormula>INDEX(Company_Master!$A$2:$H$101,MATCH(Company_Master!F2,Company_Master!$F$2:$F$101,0),6)</calculatedColumnFormula>
    </tableColumn>
    <tableColumn id="5" xr3:uid="{2C961056-C45B-4095-94DB-382465638550}" name="ESG Score" dataDxfId="144">
      <calculatedColumnFormula>_xlfn.XLOOKUP(Governance!E2,Governance!$E$2:$E$101,Governance!$E$2:$E$101,0)</calculatedColumnFormula>
    </tableColumn>
    <tableColumn id="6" xr3:uid="{F0959CAD-4F5A-46D5-9870-35DD41F81ED7}" name="Scope 1" dataDxfId="143">
      <calculatedColumnFormula>INDEX(Environmental!$A$2:$I$101,MATCH(Environmental!C2,Environmental!$C$2:$C$101,0),3)</calculatedColumnFormula>
    </tableColumn>
    <tableColumn id="7" xr3:uid="{CFB0925D-CC78-4D71-828F-1CB3AB084935}" name="Scope 2" dataDxfId="142">
      <calculatedColumnFormula>INDEX(Environmental!$A$2:$I$101,MATCH(Environmental!D2,Environmental!$D$2:$D$101,0),4)</calculatedColumnFormula>
    </tableColumn>
    <tableColumn id="8" xr3:uid="{33665EF9-BB4B-42EB-99B4-01B6BD8BB218}" name="Scope 3" dataDxfId="141">
      <calculatedColumnFormula>INDEX(Environmental!$A$2:$I$101,MATCH(Environmental!E2,Environmental!$E$2:$E$101,0),5)</calculatedColumnFormula>
    </tableColumn>
    <tableColumn id="9" xr3:uid="{4AA60B54-2D6C-45A4-ACA7-7C47A6CFF94A}" name="Renewable%" dataDxfId="140">
      <calculatedColumnFormula>INDEX(Environmental!$A$2:$I$101,MATCH(Environmental!G2,Environmental!$G$2:$G$101,0),7)</calculatedColumnFormula>
    </tableColumn>
    <tableColumn id="10" xr3:uid="{D85DA5D6-5A83-4B78-8CD6-537A0267388E}" name="Women Leadership %" dataDxfId="139">
      <calculatedColumnFormula>INDEX(Social!$A$2:$G$101,MATCH(Social!C2,Social!$C$2:$C$101,0),3)</calculatedColumnFormula>
    </tableColumn>
    <tableColumn id="11" xr3:uid="{E14459C2-C1FC-4D04-A495-22CB165043B2}" name="Board Independence %" dataDxfId="138">
      <calculatedColumnFormula>INDEX(Governance!$A$2:$F$101,MATCH(Governance!B2,Governance!$B$2:$B$101,0),2)</calculatedColumnFormula>
    </tableColumn>
    <tableColumn id="12" xr3:uid="{B07E19C6-40CF-4348-85FE-3AAC2D18413D}" name="ESG Committee" dataDxfId="137">
      <calculatedColumnFormula>INDEX(Governance!A2:C101,1,3)</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ivotTable" Target="../pivotTables/pivotTable4.xml"/><Relationship Id="rId7" Type="http://schemas.openxmlformats.org/officeDocument/2006/relationships/ctrlProp" Target="../ctrlProps/ctrlProp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 Id="rId9"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102"/>
  <sheetViews>
    <sheetView topLeftCell="N1" workbookViewId="0">
      <selection activeCell="S16" sqref="S16"/>
    </sheetView>
  </sheetViews>
  <sheetFormatPr defaultRowHeight="15" customHeight="1" x14ac:dyDescent="0.35"/>
  <cols>
    <col min="1" max="1" width="11" bestFit="1" customWidth="1"/>
    <col min="2" max="2" width="12.1796875" bestFit="1" customWidth="1"/>
    <col min="3" max="3" width="13.1796875" bestFit="1" customWidth="1"/>
    <col min="4" max="4" width="8.453125" bestFit="1" customWidth="1"/>
    <col min="5" max="5" width="9.81640625" bestFit="1" customWidth="1"/>
    <col min="6" max="6" width="13.54296875" bestFit="1" customWidth="1"/>
    <col min="7" max="7" width="14.453125" bestFit="1" customWidth="1"/>
    <col min="8" max="8" width="14.81640625" customWidth="1"/>
    <col min="9" max="14" width="20.7265625" customWidth="1"/>
    <col min="15" max="15" width="32.54296875" bestFit="1" customWidth="1"/>
    <col min="16" max="16" width="4.7265625" customWidth="1"/>
    <col min="17" max="17" width="21.7265625" bestFit="1" customWidth="1"/>
    <col min="18" max="18" width="4.54296875" customWidth="1"/>
    <col min="19" max="19" width="61.1796875" customWidth="1"/>
    <col min="20" max="20" width="14.7265625" bestFit="1" customWidth="1"/>
    <col min="21" max="21" width="5" customWidth="1"/>
    <col min="22" max="22" width="14.7265625" customWidth="1"/>
    <col min="23" max="23" width="29.453125" customWidth="1"/>
    <col min="24" max="24" width="42.26953125" bestFit="1" customWidth="1"/>
    <col min="25" max="25" width="11.7265625" bestFit="1" customWidth="1"/>
    <col min="26" max="26" width="5.453125" bestFit="1" customWidth="1"/>
  </cols>
  <sheetData>
    <row r="1" spans="1:24" x14ac:dyDescent="0.35">
      <c r="A1" s="29" t="s">
        <v>0</v>
      </c>
      <c r="B1" s="29" t="s">
        <v>1</v>
      </c>
      <c r="C1" s="29" t="s">
        <v>2</v>
      </c>
      <c r="D1" s="29" t="s">
        <v>3</v>
      </c>
      <c r="E1" s="29" t="s">
        <v>4</v>
      </c>
      <c r="F1" s="29" t="s">
        <v>5</v>
      </c>
      <c r="G1" s="29" t="s">
        <v>6</v>
      </c>
      <c r="H1" s="29" t="s">
        <v>7</v>
      </c>
      <c r="I1" s="29" t="s">
        <v>8</v>
      </c>
      <c r="K1" t="s">
        <v>9</v>
      </c>
      <c r="L1" t="s">
        <v>10</v>
      </c>
      <c r="M1" t="s">
        <v>11</v>
      </c>
      <c r="N1" t="s">
        <v>178</v>
      </c>
      <c r="O1" t="s">
        <v>179</v>
      </c>
      <c r="Q1" s="41" t="s">
        <v>181</v>
      </c>
      <c r="V1" s="37" t="s">
        <v>0</v>
      </c>
      <c r="W1" s="37" t="s">
        <v>12</v>
      </c>
      <c r="X1" s="37" t="s">
        <v>182</v>
      </c>
    </row>
    <row r="2" spans="1:24" x14ac:dyDescent="0.35">
      <c r="A2" s="30">
        <v>1</v>
      </c>
      <c r="B2" s="30" t="s">
        <v>13</v>
      </c>
      <c r="C2" s="30" t="s">
        <v>14</v>
      </c>
      <c r="D2" s="30" t="s">
        <v>15</v>
      </c>
      <c r="E2" s="30">
        <v>19348</v>
      </c>
      <c r="F2" s="30">
        <v>29503</v>
      </c>
      <c r="G2" s="30">
        <v>208359.5</v>
      </c>
      <c r="H2" s="31" t="str" cm="1">
        <f t="array" ref="H2:H101">IF(F2:F101&gt;20000,"Large Cap","Mid/Small Cap")</f>
        <v>Large Cap</v>
      </c>
      <c r="I2" s="32" cm="1">
        <f t="array" ref="I2:I101">((F2:F101*1000000)/E2:E101)</f>
        <v>1524860.450692578</v>
      </c>
      <c r="J2" s="2"/>
      <c r="K2">
        <f>VLOOKUP(Governance!A2,Governance!A2:E101,5)</f>
        <v>45</v>
      </c>
      <c r="L2">
        <f>_xlfn.XLOOKUP(Governance!A2,Governance!$A$2:$A$101,Governance!$E$2:$E$101,"Not Found",0)</f>
        <v>45</v>
      </c>
      <c r="M2">
        <f>IFERROR(K2,"Not Found")</f>
        <v>45</v>
      </c>
      <c r="N2" s="33" t="str" cm="1">
        <f t="array" ref="N2">_xlfn.IFS(L2&gt;=80,"Low Risk",L2&gt;=50,"Medium Risk",TRUE,"High Risk")</f>
        <v>High Risk</v>
      </c>
      <c r="O2">
        <f>INDEX(Environmental!$A$2:$I$101,MATCH(Environmental!C2,Environmental!$C$2:$C$101,0),3)</f>
        <v>1508</v>
      </c>
      <c r="Q2" s="42" t="s">
        <v>16</v>
      </c>
      <c r="S2" s="34" t="s">
        <v>17</v>
      </c>
      <c r="T2" s="22">
        <f>SUM(E2:E101)</f>
        <v>1090719</v>
      </c>
      <c r="U2" s="35"/>
      <c r="V2" s="38">
        <v>1</v>
      </c>
      <c r="W2" s="39">
        <v>2025</v>
      </c>
      <c r="X2" s="39" cm="1">
        <f t="array" ref="X2">INDEX(Environmental!$C$2:$C$101,MATCH(1,(Environmental!$A$2:$A$101=Company_Master!V2)*(Environmental!$B$2:$B$101=Company_Master!W2),0))</f>
        <v>1508</v>
      </c>
    </row>
    <row r="3" spans="1:24" x14ac:dyDescent="0.35">
      <c r="A3" s="30">
        <v>2</v>
      </c>
      <c r="B3" s="30" t="s">
        <v>18</v>
      </c>
      <c r="C3" s="30" t="s">
        <v>19</v>
      </c>
      <c r="D3" s="30" t="s">
        <v>20</v>
      </c>
      <c r="E3" s="30">
        <v>12050</v>
      </c>
      <c r="F3" s="30">
        <v>9833</v>
      </c>
      <c r="G3" s="30">
        <v>184033.1</v>
      </c>
      <c r="H3" s="31" t="str">
        <v>Mid/Small Cap</v>
      </c>
      <c r="I3" s="32">
        <v>816016.59751037345</v>
      </c>
      <c r="J3" s="2"/>
      <c r="K3">
        <f>VLOOKUP(Governance!A3,Governance!A3:E102,5,FALSE)</f>
        <v>82</v>
      </c>
      <c r="L3">
        <f>_xlfn.XLOOKUP(Governance!A3,Governance!$A$2:$A$101,Governance!$E$2:$E$101,"Not Found",0)</f>
        <v>82</v>
      </c>
      <c r="M3">
        <f t="shared" ref="M3:M66" si="0">IFERROR(K3,"Not Found")</f>
        <v>82</v>
      </c>
      <c r="N3" s="33" t="str" cm="1">
        <f t="array" ref="N3">_xlfn.IFS(L3&gt;=80,"Low Risk",L3&gt;=50,"Medium Risk",TRUE,"High Risk")</f>
        <v>Low Risk</v>
      </c>
      <c r="O3">
        <f>INDEX(Environmental!$A$2:$I$101,MATCH(Environmental!C3,Environmental!$C$2:$C$101,0),3)</f>
        <v>4881</v>
      </c>
      <c r="S3" s="34" t="s">
        <v>183</v>
      </c>
      <c r="T3" s="23">
        <f>AVERAGE(F2:F101)</f>
        <v>15689.08</v>
      </c>
      <c r="U3" s="2"/>
      <c r="V3" s="2"/>
    </row>
    <row r="4" spans="1:24" x14ac:dyDescent="0.35">
      <c r="A4" s="30">
        <v>3</v>
      </c>
      <c r="B4" s="30" t="s">
        <v>21</v>
      </c>
      <c r="C4" s="30" t="s">
        <v>22</v>
      </c>
      <c r="D4" s="30" t="s">
        <v>20</v>
      </c>
      <c r="E4" s="30">
        <v>14827</v>
      </c>
      <c r="F4" s="30">
        <v>20673</v>
      </c>
      <c r="G4" s="30">
        <v>172000</v>
      </c>
      <c r="H4" s="31" t="str">
        <v>Large Cap</v>
      </c>
      <c r="I4" s="32">
        <v>1394280.7041208607</v>
      </c>
      <c r="J4" s="2"/>
      <c r="K4">
        <f>VLOOKUP(Governance!A4,Governance!A4:E103,5,FALSE)</f>
        <v>78</v>
      </c>
      <c r="L4">
        <f>_xlfn.XLOOKUP(Governance!A4,Governance!$A$2:$A$101,Governance!$E$2:$E$101,"Not Found",0)</f>
        <v>78</v>
      </c>
      <c r="M4">
        <f t="shared" si="0"/>
        <v>78</v>
      </c>
      <c r="N4" s="33" t="str" cm="1">
        <f t="array" ref="N4">_xlfn.IFS(L4&gt;=80,"Low Risk",L4&gt;=50,"Medium Risk",TRUE,"High Risk")</f>
        <v>Medium Risk</v>
      </c>
      <c r="O4">
        <f>INDEX(Environmental!$A$2:$I$101,MATCH(Environmental!C4,Environmental!$C$2:$C$101,0),3)</f>
        <v>6247</v>
      </c>
      <c r="S4" s="34" t="s">
        <v>23</v>
      </c>
      <c r="T4" s="23">
        <f>MAX(G2:G101)</f>
        <v>208359.5</v>
      </c>
      <c r="U4" s="2"/>
      <c r="V4" s="2"/>
    </row>
    <row r="5" spans="1:24" x14ac:dyDescent="0.35">
      <c r="A5" s="30">
        <v>4</v>
      </c>
      <c r="B5" s="30" t="s">
        <v>24</v>
      </c>
      <c r="C5" s="30" t="s">
        <v>14</v>
      </c>
      <c r="D5" s="30" t="s">
        <v>25</v>
      </c>
      <c r="E5" s="30">
        <v>19912</v>
      </c>
      <c r="F5" s="30">
        <v>17659</v>
      </c>
      <c r="G5" s="30">
        <v>171482.3</v>
      </c>
      <c r="H5" s="31" t="str">
        <v>Mid/Small Cap</v>
      </c>
      <c r="I5" s="32">
        <v>886852.14945761347</v>
      </c>
      <c r="J5" s="2"/>
      <c r="K5">
        <f>VLOOKUP(Governance!A5,Governance!A5:E104,5,FALSE)</f>
        <v>54</v>
      </c>
      <c r="L5">
        <f>_xlfn.XLOOKUP(Governance!A5,Governance!$A$2:$A$101,Governance!$E$2:$E$101,"Not Found",0)</f>
        <v>54</v>
      </c>
      <c r="M5">
        <f t="shared" si="0"/>
        <v>54</v>
      </c>
      <c r="N5" s="33" t="str" cm="1">
        <f t="array" ref="N5">_xlfn.IFS(L5&gt;=80,"Low Risk",L5&gt;=50,"Medium Risk",TRUE,"High Risk")</f>
        <v>Medium Risk</v>
      </c>
      <c r="O5">
        <f>INDEX(Environmental!$A$2:$I$101,MATCH(Environmental!C5,Environmental!$C$2:$C$101,0),3)</f>
        <v>732</v>
      </c>
      <c r="S5" s="34" t="s">
        <v>26</v>
      </c>
      <c r="T5" s="23">
        <f>MIN(G2:G101)</f>
        <v>1249.2</v>
      </c>
      <c r="U5" s="2"/>
      <c r="V5" s="2"/>
    </row>
    <row r="6" spans="1:24" x14ac:dyDescent="0.35">
      <c r="A6" s="30">
        <v>5</v>
      </c>
      <c r="B6" s="30" t="s">
        <v>27</v>
      </c>
      <c r="C6" s="30" t="s">
        <v>16</v>
      </c>
      <c r="D6" s="30" t="s">
        <v>28</v>
      </c>
      <c r="E6" s="30">
        <v>5812</v>
      </c>
      <c r="F6" s="30">
        <v>22374</v>
      </c>
      <c r="G6" s="30">
        <v>171330.9</v>
      </c>
      <c r="H6" s="30" t="str">
        <v>Large Cap</v>
      </c>
      <c r="I6" s="32">
        <v>3849621.4728148659</v>
      </c>
      <c r="J6" s="2"/>
      <c r="K6">
        <f>VLOOKUP(Governance!A6,Governance!A6:E105,5,FALSE)</f>
        <v>62</v>
      </c>
      <c r="L6">
        <f>_xlfn.XLOOKUP(Governance!A6,Governance!$A$2:$A$101,Governance!$E$2:$E$101,"Not Found",0)</f>
        <v>62</v>
      </c>
      <c r="M6">
        <f t="shared" si="0"/>
        <v>62</v>
      </c>
      <c r="N6" s="33" t="str" cm="1">
        <f t="array" ref="N6">_xlfn.IFS(L6&gt;=80,"Low Risk",L6&gt;=50,"Medium Risk",TRUE,"High Risk")</f>
        <v>Medium Risk</v>
      </c>
      <c r="O6">
        <f>INDEX(Environmental!$A$2:$I$101,MATCH(Environmental!C6,Environmental!$C$2:$C$101,0),3)</f>
        <v>2683</v>
      </c>
      <c r="S6" s="34" t="s">
        <v>184</v>
      </c>
      <c r="T6" s="21">
        <f>COUNTA(B2:B101)</f>
        <v>100</v>
      </c>
    </row>
    <row r="7" spans="1:24" x14ac:dyDescent="0.35">
      <c r="A7" s="30">
        <v>6</v>
      </c>
      <c r="B7" s="30" t="s">
        <v>29</v>
      </c>
      <c r="C7" s="30" t="s">
        <v>22</v>
      </c>
      <c r="D7" s="30" t="s">
        <v>30</v>
      </c>
      <c r="E7" s="30">
        <v>6312</v>
      </c>
      <c r="F7" s="30">
        <v>1098</v>
      </c>
      <c r="G7" s="30">
        <v>169343.7</v>
      </c>
      <c r="H7" s="30" t="str">
        <v>Mid/Small Cap</v>
      </c>
      <c r="I7" s="32">
        <v>173954.37262357413</v>
      </c>
      <c r="J7" s="2"/>
      <c r="K7">
        <f>VLOOKUP(Governance!A7,Governance!A7:E106,5,FALSE)</f>
        <v>94</v>
      </c>
      <c r="L7">
        <f>_xlfn.XLOOKUP(Governance!A7,Governance!$A$2:$A$101,Governance!$E$2:$E$101,"Not Found",0)</f>
        <v>94</v>
      </c>
      <c r="M7">
        <f t="shared" si="0"/>
        <v>94</v>
      </c>
      <c r="N7" s="33" t="str" cm="1">
        <f t="array" ref="N7">_xlfn.IFS(L7&gt;=80,"Low Risk",L7&gt;=50,"Medium Risk",TRUE,"High Risk")</f>
        <v>Low Risk</v>
      </c>
      <c r="O7">
        <f>INDEX(Environmental!$A$2:$I$101,MATCH(Environmental!C7,Environmental!$C$2:$C$101,0),3)</f>
        <v>921</v>
      </c>
      <c r="S7" s="34" t="s">
        <v>31</v>
      </c>
      <c r="T7" s="21">
        <f>COUNT(G2:G101)</f>
        <v>100</v>
      </c>
    </row>
    <row r="8" spans="1:24" x14ac:dyDescent="0.35">
      <c r="A8" s="30">
        <v>7</v>
      </c>
      <c r="B8" s="30" t="s">
        <v>32</v>
      </c>
      <c r="C8" s="30" t="s">
        <v>22</v>
      </c>
      <c r="D8" s="30" t="s">
        <v>30</v>
      </c>
      <c r="E8" s="30">
        <v>7735</v>
      </c>
      <c r="F8" s="30">
        <v>27989</v>
      </c>
      <c r="G8" s="30">
        <v>168046.9</v>
      </c>
      <c r="H8" s="30" t="str">
        <v>Large Cap</v>
      </c>
      <c r="I8" s="32">
        <v>3618487.3949579834</v>
      </c>
      <c r="J8" s="2"/>
      <c r="K8">
        <f>VLOOKUP(Governance!A8,Governance!A8:E107,5,FALSE)</f>
        <v>41</v>
      </c>
      <c r="L8">
        <f>_xlfn.XLOOKUP(Governance!A8,Governance!$A$2:$A$101,Governance!$E$2:$E$101,"Not Found",0)</f>
        <v>41</v>
      </c>
      <c r="M8">
        <f t="shared" si="0"/>
        <v>41</v>
      </c>
      <c r="N8" s="33" t="str" cm="1">
        <f t="array" ref="N8">_xlfn.IFS(L8&gt;=80,"Low Risk",L8&gt;=50,"Medium Risk",TRUE,"High Risk")</f>
        <v>High Risk</v>
      </c>
      <c r="O8">
        <f>INDEX(Environmental!$A$2:$I$101,MATCH(Environmental!C8,Environmental!$C$2:$C$101,0),3)</f>
        <v>3119</v>
      </c>
      <c r="S8" s="34" t="s">
        <v>185</v>
      </c>
      <c r="T8" s="21">
        <f>COUNTIF(C2:C101,"Technology")</f>
        <v>14</v>
      </c>
    </row>
    <row r="9" spans="1:24" x14ac:dyDescent="0.35">
      <c r="A9" s="30">
        <v>8</v>
      </c>
      <c r="B9" s="30" t="s">
        <v>33</v>
      </c>
      <c r="C9" s="30" t="s">
        <v>19</v>
      </c>
      <c r="D9" s="30" t="s">
        <v>30</v>
      </c>
      <c r="E9" s="30">
        <v>19878</v>
      </c>
      <c r="F9" s="30">
        <v>18603</v>
      </c>
      <c r="G9" s="30">
        <v>165252.4</v>
      </c>
      <c r="H9" s="30" t="str">
        <v>Mid/Small Cap</v>
      </c>
      <c r="I9" s="32">
        <v>935858.73830365227</v>
      </c>
      <c r="J9" s="2"/>
      <c r="K9">
        <f>VLOOKUP(Governance!A9,Governance!A9:E108,5,FALSE)</f>
        <v>35</v>
      </c>
      <c r="L9">
        <f>_xlfn.XLOOKUP(Governance!A9,Governance!$A$2:$A$101,Governance!$E$2:$E$101,"Not Found",0)</f>
        <v>35</v>
      </c>
      <c r="M9">
        <f t="shared" si="0"/>
        <v>35</v>
      </c>
      <c r="N9" s="33" t="str" cm="1">
        <f t="array" ref="N9">_xlfn.IFS(L9&gt;=80,"Low Risk",L9&gt;=50,"Medium Risk",TRUE,"High Risk")</f>
        <v>High Risk</v>
      </c>
      <c r="O9">
        <f>INDEX(Environmental!$A$2:$I$101,MATCH(Environmental!C9,Environmental!$C$2:$C$101,0),3)</f>
        <v>5000</v>
      </c>
      <c r="S9" s="34" t="s">
        <v>186</v>
      </c>
      <c r="T9" s="21">
        <f>COUNTIF(D2:D101,"USA")</f>
        <v>20</v>
      </c>
    </row>
    <row r="10" spans="1:24" x14ac:dyDescent="0.35">
      <c r="A10" s="30">
        <v>9</v>
      </c>
      <c r="B10" s="30" t="s">
        <v>34</v>
      </c>
      <c r="C10" s="30" t="s">
        <v>35</v>
      </c>
      <c r="D10" s="30" t="s">
        <v>28</v>
      </c>
      <c r="E10" s="30">
        <v>10104</v>
      </c>
      <c r="F10" s="30">
        <v>9777</v>
      </c>
      <c r="G10" s="30">
        <v>164705.70000000001</v>
      </c>
      <c r="H10" s="30" t="str">
        <v>Mid/Small Cap</v>
      </c>
      <c r="I10" s="32">
        <v>967636.57957244653</v>
      </c>
      <c r="J10" s="2"/>
      <c r="K10">
        <f>VLOOKUP(Governance!A10,Governance!A10:E109,5,FALSE)</f>
        <v>83</v>
      </c>
      <c r="L10">
        <f>_xlfn.XLOOKUP(Governance!A10,Governance!$A$2:$A$101,Governance!$E$2:$E$101,"Not Found",0)</f>
        <v>83</v>
      </c>
      <c r="M10">
        <f t="shared" si="0"/>
        <v>83</v>
      </c>
      <c r="N10" s="33" t="str" cm="1">
        <f t="array" ref="N10">_xlfn.IFS(L10&gt;=80,"Low Risk",L10&gt;=50,"Medium Risk",TRUE,"High Risk")</f>
        <v>Low Risk</v>
      </c>
      <c r="O10">
        <f>INDEX(Environmental!$A$2:$I$101,MATCH(Environmental!C10,Environmental!$C$2:$C$101,0),3)</f>
        <v>3153</v>
      </c>
      <c r="S10" s="34" t="s">
        <v>36</v>
      </c>
      <c r="T10" s="21">
        <f>SUMIF(C2:C101,"Energy",O2:O101)</f>
        <v>47209</v>
      </c>
    </row>
    <row r="11" spans="1:24" x14ac:dyDescent="0.35">
      <c r="A11" s="30">
        <v>10</v>
      </c>
      <c r="B11" s="30" t="s">
        <v>37</v>
      </c>
      <c r="C11" s="30" t="s">
        <v>38</v>
      </c>
      <c r="D11" s="30" t="s">
        <v>28</v>
      </c>
      <c r="E11" s="30">
        <v>7613</v>
      </c>
      <c r="F11" s="30">
        <v>15378</v>
      </c>
      <c r="G11" s="30">
        <v>148321.29999999999</v>
      </c>
      <c r="H11" s="30" t="str">
        <v>Mid/Small Cap</v>
      </c>
      <c r="I11" s="32">
        <v>2019965.847891764</v>
      </c>
      <c r="J11" s="2"/>
      <c r="K11">
        <f>VLOOKUP(Governance!A11,Governance!A11:E110,5,FALSE)</f>
        <v>78</v>
      </c>
      <c r="L11">
        <f>_xlfn.XLOOKUP(Governance!A11,Governance!$A$2:$A$101,Governance!$E$2:$E$101,"Not Found",0)</f>
        <v>78</v>
      </c>
      <c r="M11">
        <f t="shared" si="0"/>
        <v>78</v>
      </c>
      <c r="N11" s="33" t="str" cm="1">
        <f t="array" ref="N11">_xlfn.IFS(L11&gt;=80,"Low Risk",L11&gt;=50,"Medium Risk",TRUE,"High Risk")</f>
        <v>Medium Risk</v>
      </c>
      <c r="O11">
        <f>INDEX(Environmental!$A$2:$I$101,MATCH(Environmental!C11,Environmental!$C$2:$C$101,0),3)</f>
        <v>3992</v>
      </c>
      <c r="S11" s="34" t="s">
        <v>188</v>
      </c>
      <c r="T11" s="21">
        <f>SUMIFS(F2:F101,C2:C101,"Technology",D2:D101,"USA")</f>
        <v>4096</v>
      </c>
    </row>
    <row r="12" spans="1:24" x14ac:dyDescent="0.35">
      <c r="A12" s="30">
        <v>11</v>
      </c>
      <c r="B12" s="30" t="s">
        <v>39</v>
      </c>
      <c r="C12" s="30" t="s">
        <v>19</v>
      </c>
      <c r="D12" s="30" t="s">
        <v>20</v>
      </c>
      <c r="E12" s="30">
        <v>1462</v>
      </c>
      <c r="F12" s="30">
        <v>1454</v>
      </c>
      <c r="G12" s="30">
        <v>140687.70000000001</v>
      </c>
      <c r="H12" s="30" t="str">
        <v>Mid/Small Cap</v>
      </c>
      <c r="I12" s="32">
        <v>994528.04377564974</v>
      </c>
      <c r="J12" s="2"/>
      <c r="K12">
        <f>VLOOKUP(Governance!A12,Governance!A12:E111,5,FALSE)</f>
        <v>62</v>
      </c>
      <c r="L12">
        <f>_xlfn.XLOOKUP(Governance!A12,Governance!$A$2:$A$101,Governance!$E$2:$E$101,"Not Found",0)</f>
        <v>62</v>
      </c>
      <c r="M12">
        <f t="shared" si="0"/>
        <v>62</v>
      </c>
      <c r="N12" s="33" t="str" cm="1">
        <f t="array" ref="N12">_xlfn.IFS(L12&gt;=80,"Low Risk",L12&gt;=50,"Medium Risk",TRUE,"High Risk")</f>
        <v>Medium Risk</v>
      </c>
      <c r="O12">
        <f>INDEX(Environmental!$A$2:$I$101,MATCH(Environmental!C12,Environmental!$C$2:$C$101,0),3)</f>
        <v>1631</v>
      </c>
      <c r="S12" s="34" t="s">
        <v>40</v>
      </c>
      <c r="T12" s="21">
        <f>COUNTIFS(Governance!B2:B101,"&gt;60",Governance!D2:D101,"=0")</f>
        <v>7</v>
      </c>
    </row>
    <row r="13" spans="1:24" x14ac:dyDescent="0.35">
      <c r="A13" s="30">
        <v>12</v>
      </c>
      <c r="B13" s="30" t="s">
        <v>41</v>
      </c>
      <c r="C13" s="30" t="s">
        <v>38</v>
      </c>
      <c r="D13" s="30" t="s">
        <v>42</v>
      </c>
      <c r="E13" s="30">
        <v>12278</v>
      </c>
      <c r="F13" s="30">
        <v>28347</v>
      </c>
      <c r="G13" s="30">
        <v>139741.6</v>
      </c>
      <c r="H13" s="30" t="str">
        <v>Large Cap</v>
      </c>
      <c r="I13" s="32">
        <v>2308763.6422870173</v>
      </c>
      <c r="J13" s="2"/>
      <c r="K13">
        <f>VLOOKUP(Governance!A13,Governance!A13:E112,5,FALSE)</f>
        <v>71</v>
      </c>
      <c r="L13">
        <f>_xlfn.XLOOKUP(Governance!A13,Governance!$A$2:$A$101,Governance!$E$2:$E$101,"Not Found",0)</f>
        <v>71</v>
      </c>
      <c r="M13">
        <f t="shared" si="0"/>
        <v>71</v>
      </c>
      <c r="N13" s="33" t="str" cm="1">
        <f t="array" ref="N13">_xlfn.IFS(L13&gt;=80,"Low Risk",L13&gt;=50,"Medium Risk",TRUE,"High Risk")</f>
        <v>Medium Risk</v>
      </c>
      <c r="O13">
        <f>INDEX(Environmental!$A$2:$I$101,MATCH(Environmental!C13,Environmental!$C$2:$C$101,0),3)</f>
        <v>5881</v>
      </c>
      <c r="S13" s="34" t="s">
        <v>43</v>
      </c>
      <c r="T13" s="24">
        <f>AVERAGEIFS(Social!E2:E101,Social!F2:F101,"&lt;10")</f>
        <v>33.303030303030305</v>
      </c>
      <c r="U13" s="36"/>
      <c r="V13" s="36"/>
    </row>
    <row r="14" spans="1:24" x14ac:dyDescent="0.35">
      <c r="A14" s="30">
        <v>13</v>
      </c>
      <c r="B14" s="30" t="s">
        <v>44</v>
      </c>
      <c r="C14" s="30" t="s">
        <v>14</v>
      </c>
      <c r="D14" s="30" t="s">
        <v>15</v>
      </c>
      <c r="E14" s="30">
        <v>9034</v>
      </c>
      <c r="F14" s="30">
        <v>17426</v>
      </c>
      <c r="G14" s="30">
        <v>138341.9</v>
      </c>
      <c r="H14" s="30" t="str">
        <v>Mid/Small Cap</v>
      </c>
      <c r="I14" s="32">
        <v>1928935.1339384548</v>
      </c>
      <c r="J14" s="2"/>
      <c r="K14">
        <f>VLOOKUP(Governance!A14,Governance!A14:E113,5,FALSE)</f>
        <v>68</v>
      </c>
      <c r="L14">
        <f>_xlfn.XLOOKUP(Governance!A14,Governance!$A$2:$A$101,Governance!$E$2:$E$101,"Not Found",0)</f>
        <v>68</v>
      </c>
      <c r="M14">
        <f t="shared" si="0"/>
        <v>68</v>
      </c>
      <c r="N14" s="33" t="str" cm="1">
        <f t="array" ref="N14">_xlfn.IFS(L14&gt;=80,"Low Risk",L14&gt;=50,"Medium Risk",TRUE,"High Risk")</f>
        <v>Medium Risk</v>
      </c>
      <c r="O14">
        <f>INDEX(Environmental!$A$2:$I$101,MATCH(Environmental!C14,Environmental!$C$2:$C$101,0),3)</f>
        <v>5514</v>
      </c>
      <c r="S14" s="34" t="s">
        <v>187</v>
      </c>
      <c r="T14" s="40">
        <f>SUMPRODUCT(F2:F101,K2:K101)/SUM(F2:F101)</f>
        <v>64.262832492408734</v>
      </c>
      <c r="U14" s="3"/>
      <c r="V14" s="3"/>
    </row>
    <row r="15" spans="1:24" x14ac:dyDescent="0.35">
      <c r="A15" s="30">
        <v>14</v>
      </c>
      <c r="B15" s="30" t="s">
        <v>45</v>
      </c>
      <c r="C15" s="30" t="s">
        <v>16</v>
      </c>
      <c r="D15" s="30" t="s">
        <v>25</v>
      </c>
      <c r="E15" s="30">
        <v>19011</v>
      </c>
      <c r="F15" s="30">
        <v>12007</v>
      </c>
      <c r="G15" s="30">
        <v>138039</v>
      </c>
      <c r="H15" s="30" t="str">
        <v>Mid/Small Cap</v>
      </c>
      <c r="I15" s="32">
        <v>631581.71584871912</v>
      </c>
      <c r="J15" s="2"/>
      <c r="K15">
        <f>VLOOKUP(Governance!A15,Governance!A15:E114,5,FALSE)</f>
        <v>52</v>
      </c>
      <c r="L15">
        <f>_xlfn.XLOOKUP(Governance!A15,Governance!$A$2:$A$101,Governance!$E$2:$E$101,"Not Found",0)</f>
        <v>52</v>
      </c>
      <c r="M15">
        <f t="shared" si="0"/>
        <v>52</v>
      </c>
      <c r="N15" s="33" t="str" cm="1">
        <f t="array" ref="N15">_xlfn.IFS(L15&gt;=80,"Low Risk",L15&gt;=50,"Medium Risk",TRUE,"High Risk")</f>
        <v>Medium Risk</v>
      </c>
      <c r="O15">
        <f>INDEX(Environmental!$A$2:$I$101,MATCH(Environmental!C15,Environmental!$C$2:$C$101,0),3)</f>
        <v>3907</v>
      </c>
    </row>
    <row r="16" spans="1:24" x14ac:dyDescent="0.35">
      <c r="A16" s="30">
        <v>15</v>
      </c>
      <c r="B16" s="30" t="s">
        <v>46</v>
      </c>
      <c r="C16" s="30" t="s">
        <v>19</v>
      </c>
      <c r="D16" s="30" t="s">
        <v>42</v>
      </c>
      <c r="E16" s="30">
        <v>19703</v>
      </c>
      <c r="F16" s="30">
        <v>19119</v>
      </c>
      <c r="G16" s="30">
        <v>133543.6</v>
      </c>
      <c r="H16" s="30" t="str">
        <v>Mid/Small Cap</v>
      </c>
      <c r="I16" s="32">
        <v>970359.84367862763</v>
      </c>
      <c r="J16" s="2"/>
      <c r="K16">
        <f>VLOOKUP(Governance!A16,Governance!A16:E115,5,FALSE)</f>
        <v>64</v>
      </c>
      <c r="L16">
        <f>_xlfn.XLOOKUP(Governance!A16,Governance!$A$2:$A$101,Governance!$E$2:$E$101,"Not Found",0)</f>
        <v>64</v>
      </c>
      <c r="M16">
        <f t="shared" si="0"/>
        <v>64</v>
      </c>
      <c r="N16" s="33" t="str" cm="1">
        <f t="array" ref="N16">_xlfn.IFS(L16&gt;=80,"Low Risk",L16&gt;=50,"Medium Risk",TRUE,"High Risk")</f>
        <v>Medium Risk</v>
      </c>
      <c r="O16">
        <f>INDEX(Environmental!$A$2:$I$101,MATCH(Environmental!C16,Environmental!$C$2:$C$101,0),3)</f>
        <v>4325</v>
      </c>
    </row>
    <row r="17" spans="1:15" x14ac:dyDescent="0.35">
      <c r="A17" s="30">
        <v>16</v>
      </c>
      <c r="B17" s="30" t="s">
        <v>47</v>
      </c>
      <c r="C17" s="30" t="s">
        <v>35</v>
      </c>
      <c r="D17" s="30" t="s">
        <v>28</v>
      </c>
      <c r="E17" s="30">
        <v>4164</v>
      </c>
      <c r="F17" s="30">
        <v>2463</v>
      </c>
      <c r="G17" s="30">
        <v>133249.20000000001</v>
      </c>
      <c r="H17" s="30" t="str">
        <v>Mid/Small Cap</v>
      </c>
      <c r="I17" s="32">
        <v>591498.5590778098</v>
      </c>
      <c r="J17" s="2"/>
      <c r="K17">
        <f>VLOOKUP(Governance!A17,Governance!A17:E116,5,FALSE)</f>
        <v>89</v>
      </c>
      <c r="L17">
        <f>_xlfn.XLOOKUP(Governance!A17,Governance!$A$2:$A$101,Governance!$E$2:$E$101,"Not Found",0)</f>
        <v>89</v>
      </c>
      <c r="M17">
        <f t="shared" si="0"/>
        <v>89</v>
      </c>
      <c r="N17" s="33" t="str" cm="1">
        <f t="array" ref="N17">_xlfn.IFS(L17&gt;=80,"Low Risk",L17&gt;=50,"Medium Risk",TRUE,"High Risk")</f>
        <v>Low Risk</v>
      </c>
      <c r="O17">
        <f>INDEX(Environmental!$A$2:$I$101,MATCH(Environmental!C17,Environmental!$C$2:$C$101,0),3)</f>
        <v>3245</v>
      </c>
    </row>
    <row r="18" spans="1:15" x14ac:dyDescent="0.35">
      <c r="A18" s="30">
        <v>17</v>
      </c>
      <c r="B18" s="30" t="s">
        <v>48</v>
      </c>
      <c r="C18" s="30" t="s">
        <v>19</v>
      </c>
      <c r="D18" s="30" t="s">
        <v>42</v>
      </c>
      <c r="E18" s="30">
        <v>17979</v>
      </c>
      <c r="F18" s="30">
        <v>8780</v>
      </c>
      <c r="G18" s="30">
        <v>129246.5</v>
      </c>
      <c r="H18" s="30" t="str">
        <v>Mid/Small Cap</v>
      </c>
      <c r="I18" s="32">
        <v>488347.51654708269</v>
      </c>
      <c r="J18" s="2"/>
      <c r="K18">
        <f>VLOOKUP(Governance!A18,Governance!A18:E117,5,FALSE)</f>
        <v>52</v>
      </c>
      <c r="L18">
        <f>_xlfn.XLOOKUP(Governance!A18,Governance!$A$2:$A$101,Governance!$E$2:$E$101,"Not Found",0)</f>
        <v>52</v>
      </c>
      <c r="M18">
        <f t="shared" si="0"/>
        <v>52</v>
      </c>
      <c r="N18" s="33" t="str" cm="1">
        <f t="array" ref="N18">_xlfn.IFS(L18&gt;=80,"Low Risk",L18&gt;=50,"Medium Risk",TRUE,"High Risk")</f>
        <v>Medium Risk</v>
      </c>
      <c r="O18">
        <f>INDEX(Environmental!$A$2:$I$101,MATCH(Environmental!C18,Environmental!$C$2:$C$101,0),3)</f>
        <v>7850</v>
      </c>
    </row>
    <row r="19" spans="1:15" x14ac:dyDescent="0.35">
      <c r="A19" s="30">
        <v>18</v>
      </c>
      <c r="B19" s="30" t="s">
        <v>49</v>
      </c>
      <c r="C19" s="30" t="s">
        <v>35</v>
      </c>
      <c r="D19" s="30" t="s">
        <v>42</v>
      </c>
      <c r="E19" s="30">
        <v>2930</v>
      </c>
      <c r="F19" s="30">
        <v>23788</v>
      </c>
      <c r="G19" s="30">
        <v>127220.8</v>
      </c>
      <c r="H19" s="30" t="str">
        <v>Large Cap</v>
      </c>
      <c r="I19" s="32">
        <v>8118771.3310580207</v>
      </c>
      <c r="J19" s="2"/>
      <c r="K19">
        <f>VLOOKUP(Governance!A19,Governance!A19:E118,5,FALSE)</f>
        <v>51</v>
      </c>
      <c r="L19">
        <f>_xlfn.XLOOKUP(Governance!A19,Governance!$A$2:$A$101,Governance!$E$2:$E$101,"Not Found",0)</f>
        <v>51</v>
      </c>
      <c r="M19">
        <f t="shared" si="0"/>
        <v>51</v>
      </c>
      <c r="N19" s="33" t="str" cm="1">
        <f t="array" ref="N19">_xlfn.IFS(L19&gt;=80,"Low Risk",L19&gt;=50,"Medium Risk",TRUE,"High Risk")</f>
        <v>Medium Risk</v>
      </c>
      <c r="O19">
        <f>INDEX(Environmental!$A$2:$I$101,MATCH(Environmental!C19,Environmental!$C$2:$C$101,0),3)</f>
        <v>3673</v>
      </c>
    </row>
    <row r="20" spans="1:15" x14ac:dyDescent="0.35">
      <c r="A20" s="30">
        <v>19</v>
      </c>
      <c r="B20" s="30" t="s">
        <v>50</v>
      </c>
      <c r="C20" s="30" t="s">
        <v>19</v>
      </c>
      <c r="D20" s="30" t="s">
        <v>25</v>
      </c>
      <c r="E20" s="30">
        <v>18355</v>
      </c>
      <c r="F20" s="30">
        <v>21452</v>
      </c>
      <c r="G20" s="30">
        <v>125599.5</v>
      </c>
      <c r="H20" s="30" t="str">
        <v>Large Cap</v>
      </c>
      <c r="I20" s="32">
        <v>1168727.8670661945</v>
      </c>
      <c r="J20" s="2"/>
      <c r="K20">
        <f>VLOOKUP(Governance!A20,Governance!A20:E119,5,FALSE)</f>
        <v>88</v>
      </c>
      <c r="L20">
        <f>_xlfn.XLOOKUP(Governance!A20,Governance!$A$2:$A$101,Governance!$E$2:$E$101,"Not Found",0)</f>
        <v>88</v>
      </c>
      <c r="M20">
        <f t="shared" si="0"/>
        <v>88</v>
      </c>
      <c r="N20" s="33" t="str" cm="1">
        <f t="array" ref="N20">_xlfn.IFS(L20&gt;=80,"Low Risk",L20&gt;=50,"Medium Risk",TRUE,"High Risk")</f>
        <v>Low Risk</v>
      </c>
      <c r="O20">
        <f>INDEX(Environmental!$A$2:$I$101,MATCH(Environmental!C20,Environmental!$C$2:$C$101,0),3)</f>
        <v>5357</v>
      </c>
    </row>
    <row r="21" spans="1:15" x14ac:dyDescent="0.35">
      <c r="A21" s="30">
        <v>20</v>
      </c>
      <c r="B21" s="30" t="s">
        <v>51</v>
      </c>
      <c r="C21" s="30" t="s">
        <v>16</v>
      </c>
      <c r="D21" s="30" t="s">
        <v>15</v>
      </c>
      <c r="E21" s="30">
        <v>5683</v>
      </c>
      <c r="F21" s="30">
        <v>28443</v>
      </c>
      <c r="G21" s="30">
        <v>120454</v>
      </c>
      <c r="H21" s="30" t="str">
        <v>Large Cap</v>
      </c>
      <c r="I21" s="32">
        <v>5004926.9751891606</v>
      </c>
      <c r="J21" s="2"/>
      <c r="K21">
        <f>VLOOKUP(Governance!A21,Governance!A21:E120,5,FALSE)</f>
        <v>65</v>
      </c>
      <c r="L21">
        <f>_xlfn.XLOOKUP(Governance!A21,Governance!$A$2:$A$101,Governance!$E$2:$E$101,"Not Found",0)</f>
        <v>65</v>
      </c>
      <c r="M21">
        <f t="shared" si="0"/>
        <v>65</v>
      </c>
      <c r="N21" s="33" t="str" cm="1">
        <f t="array" ref="N21">_xlfn.IFS(L21&gt;=80,"Low Risk",L21&gt;=50,"Medium Risk",TRUE,"High Risk")</f>
        <v>Medium Risk</v>
      </c>
      <c r="O21">
        <f>INDEX(Environmental!$A$2:$I$101,MATCH(Environmental!C21,Environmental!$C$2:$C$101,0),3)</f>
        <v>7338</v>
      </c>
    </row>
    <row r="22" spans="1:15" x14ac:dyDescent="0.35">
      <c r="A22" s="30">
        <v>21</v>
      </c>
      <c r="B22" s="30" t="s">
        <v>52</v>
      </c>
      <c r="C22" s="30" t="s">
        <v>16</v>
      </c>
      <c r="D22" s="30" t="s">
        <v>20</v>
      </c>
      <c r="E22" s="30">
        <v>5761</v>
      </c>
      <c r="F22" s="30">
        <v>19136</v>
      </c>
      <c r="G22" s="30">
        <v>120114.2</v>
      </c>
      <c r="H22" s="30" t="str">
        <v>Mid/Small Cap</v>
      </c>
      <c r="I22" s="32">
        <v>3321645.5476479777</v>
      </c>
      <c r="J22" s="2"/>
      <c r="K22">
        <f>VLOOKUP(Governance!A22,Governance!A22:E121,5,FALSE)</f>
        <v>61</v>
      </c>
      <c r="L22">
        <f>_xlfn.XLOOKUP(Governance!A22,Governance!$A$2:$A$101,Governance!$E$2:$E$101,"Not Found",0)</f>
        <v>61</v>
      </c>
      <c r="M22">
        <f t="shared" si="0"/>
        <v>61</v>
      </c>
      <c r="N22" s="33" t="str" cm="1">
        <f t="array" ref="N22">_xlfn.IFS(L22&gt;=80,"Low Risk",L22&gt;=50,"Medium Risk",TRUE,"High Risk")</f>
        <v>Medium Risk</v>
      </c>
      <c r="O22">
        <f>INDEX(Environmental!$A$2:$I$101,MATCH(Environmental!C22,Environmental!$C$2:$C$101,0),3)</f>
        <v>416</v>
      </c>
    </row>
    <row r="23" spans="1:15" x14ac:dyDescent="0.35">
      <c r="A23" s="30">
        <v>22</v>
      </c>
      <c r="B23" s="30" t="s">
        <v>53</v>
      </c>
      <c r="C23" s="30" t="s">
        <v>14</v>
      </c>
      <c r="D23" s="30" t="s">
        <v>25</v>
      </c>
      <c r="E23" s="30">
        <v>6085</v>
      </c>
      <c r="F23" s="30">
        <v>1646</v>
      </c>
      <c r="G23" s="30">
        <v>117615.1</v>
      </c>
      <c r="H23" s="30" t="str">
        <v>Mid/Small Cap</v>
      </c>
      <c r="I23" s="32">
        <v>270501.23253903037</v>
      </c>
      <c r="J23" s="2"/>
      <c r="K23">
        <f>VLOOKUP(Governance!A23,Governance!A23:E122,5,FALSE)</f>
        <v>50</v>
      </c>
      <c r="L23">
        <f>_xlfn.XLOOKUP(Governance!A23,Governance!$A$2:$A$101,Governance!$E$2:$E$101,"Not Found",0)</f>
        <v>50</v>
      </c>
      <c r="M23">
        <f t="shared" si="0"/>
        <v>50</v>
      </c>
      <c r="N23" s="33" t="str" cm="1">
        <f t="array" ref="N23">_xlfn.IFS(L23&gt;=80,"Low Risk",L23&gt;=50,"Medium Risk",TRUE,"High Risk")</f>
        <v>Medium Risk</v>
      </c>
      <c r="O23">
        <f>INDEX(Environmental!$A$2:$I$101,MATCH(Environmental!C23,Environmental!$C$2:$C$101,0),3)</f>
        <v>4387</v>
      </c>
    </row>
    <row r="24" spans="1:15" x14ac:dyDescent="0.35">
      <c r="A24" s="30">
        <v>23</v>
      </c>
      <c r="B24" s="30" t="s">
        <v>54</v>
      </c>
      <c r="C24" s="30" t="s">
        <v>19</v>
      </c>
      <c r="D24" s="30" t="s">
        <v>42</v>
      </c>
      <c r="E24" s="30">
        <v>7639</v>
      </c>
      <c r="F24" s="30">
        <v>13362</v>
      </c>
      <c r="G24" s="30">
        <v>117445.2</v>
      </c>
      <c r="H24" s="30" t="str">
        <v>Mid/Small Cap</v>
      </c>
      <c r="I24" s="32">
        <v>1749181.8300824715</v>
      </c>
      <c r="J24" s="2"/>
      <c r="K24">
        <f>VLOOKUP(Governance!A24,Governance!A24:E123,5,FALSE)</f>
        <v>39</v>
      </c>
      <c r="L24">
        <f>_xlfn.XLOOKUP(Governance!A24,Governance!$A$2:$A$101,Governance!$E$2:$E$101,"Not Found",0)</f>
        <v>39</v>
      </c>
      <c r="M24">
        <f t="shared" si="0"/>
        <v>39</v>
      </c>
      <c r="N24" s="33" t="str" cm="1">
        <f t="array" ref="N24">_xlfn.IFS(L24&gt;=80,"Low Risk",L24&gt;=50,"Medium Risk",TRUE,"High Risk")</f>
        <v>High Risk</v>
      </c>
      <c r="O24">
        <f>INDEX(Environmental!$A$2:$I$101,MATCH(Environmental!C24,Environmental!$C$2:$C$101,0),3)</f>
        <v>1872</v>
      </c>
    </row>
    <row r="25" spans="1:15" x14ac:dyDescent="0.35">
      <c r="A25" s="30">
        <v>24</v>
      </c>
      <c r="B25" s="30" t="s">
        <v>55</v>
      </c>
      <c r="C25" s="30" t="s">
        <v>35</v>
      </c>
      <c r="D25" s="30" t="s">
        <v>25</v>
      </c>
      <c r="E25" s="30">
        <v>18753</v>
      </c>
      <c r="F25" s="30">
        <v>27810</v>
      </c>
      <c r="G25" s="30">
        <v>114346.5</v>
      </c>
      <c r="H25" s="30" t="str">
        <v>Large Cap</v>
      </c>
      <c r="I25" s="32">
        <v>1482962.7259638458</v>
      </c>
      <c r="J25" s="2"/>
      <c r="K25">
        <f>VLOOKUP(Governance!A25,Governance!A25:E124,5,FALSE)</f>
        <v>41</v>
      </c>
      <c r="L25">
        <f>_xlfn.XLOOKUP(Governance!A25,Governance!$A$2:$A$101,Governance!$E$2:$E$101,"Not Found",0)</f>
        <v>41</v>
      </c>
      <c r="M25">
        <f t="shared" si="0"/>
        <v>41</v>
      </c>
      <c r="N25" s="33" t="str" cm="1">
        <f t="array" ref="N25">_xlfn.IFS(L25&gt;=80,"Low Risk",L25&gt;=50,"Medium Risk",TRUE,"High Risk")</f>
        <v>High Risk</v>
      </c>
      <c r="O25">
        <f>INDEX(Environmental!$A$2:$I$101,MATCH(Environmental!C25,Environmental!$C$2:$C$101,0),3)</f>
        <v>4780</v>
      </c>
    </row>
    <row r="26" spans="1:15" x14ac:dyDescent="0.35">
      <c r="A26" s="30">
        <v>25</v>
      </c>
      <c r="B26" s="30" t="s">
        <v>56</v>
      </c>
      <c r="C26" s="30" t="s">
        <v>16</v>
      </c>
      <c r="D26" s="30" t="s">
        <v>28</v>
      </c>
      <c r="E26" s="30">
        <v>17601</v>
      </c>
      <c r="F26" s="30">
        <v>22663</v>
      </c>
      <c r="G26" s="30">
        <v>109311.6</v>
      </c>
      <c r="H26" s="30" t="str">
        <v>Large Cap</v>
      </c>
      <c r="I26" s="32">
        <v>1287597.2956082041</v>
      </c>
      <c r="J26" s="2"/>
      <c r="K26">
        <f>VLOOKUP(Governance!A26,Governance!A26:E125,5,FALSE)</f>
        <v>74</v>
      </c>
      <c r="L26">
        <f>_xlfn.XLOOKUP(Governance!A26,Governance!$A$2:$A$101,Governance!$E$2:$E$101,"Not Found",0)</f>
        <v>74</v>
      </c>
      <c r="M26">
        <f t="shared" si="0"/>
        <v>74</v>
      </c>
      <c r="N26" s="33" t="str" cm="1">
        <f t="array" ref="N26">_xlfn.IFS(L26&gt;=80,"Low Risk",L26&gt;=50,"Medium Risk",TRUE,"High Risk")</f>
        <v>Medium Risk</v>
      </c>
      <c r="O26">
        <f>INDEX(Environmental!$A$2:$I$101,MATCH(Environmental!C26,Environmental!$C$2:$C$101,0),3)</f>
        <v>3928</v>
      </c>
    </row>
    <row r="27" spans="1:15" x14ac:dyDescent="0.35">
      <c r="A27" s="30">
        <v>26</v>
      </c>
      <c r="B27" s="30" t="s">
        <v>57</v>
      </c>
      <c r="C27" s="30" t="s">
        <v>35</v>
      </c>
      <c r="D27" s="30" t="s">
        <v>30</v>
      </c>
      <c r="E27" s="30">
        <v>8578</v>
      </c>
      <c r="F27" s="30">
        <v>22754</v>
      </c>
      <c r="G27" s="30">
        <v>105020.3</v>
      </c>
      <c r="H27" s="30" t="str">
        <v>Large Cap</v>
      </c>
      <c r="I27" s="32">
        <v>2652599.6735835858</v>
      </c>
      <c r="J27" s="2"/>
      <c r="K27">
        <f>VLOOKUP(Governance!A27,Governance!A27:E126,5,FALSE)</f>
        <v>44</v>
      </c>
      <c r="L27">
        <f>_xlfn.XLOOKUP(Governance!A27,Governance!$A$2:$A$101,Governance!$E$2:$E$101,"Not Found",0)</f>
        <v>44</v>
      </c>
      <c r="M27">
        <f t="shared" si="0"/>
        <v>44</v>
      </c>
      <c r="N27" s="33" t="str" cm="1">
        <f t="array" ref="N27">_xlfn.IFS(L27&gt;=80,"Low Risk",L27&gt;=50,"Medium Risk",TRUE,"High Risk")</f>
        <v>High Risk</v>
      </c>
      <c r="O27">
        <f>INDEX(Environmental!$A$2:$I$101,MATCH(Environmental!C27,Environmental!$C$2:$C$101,0),3)</f>
        <v>1166</v>
      </c>
    </row>
    <row r="28" spans="1:15" x14ac:dyDescent="0.35">
      <c r="A28" s="30">
        <v>27</v>
      </c>
      <c r="B28" s="30" t="s">
        <v>58</v>
      </c>
      <c r="C28" s="30" t="s">
        <v>19</v>
      </c>
      <c r="D28" s="30" t="s">
        <v>30</v>
      </c>
      <c r="E28" s="30">
        <v>1667</v>
      </c>
      <c r="F28" s="30">
        <v>18310</v>
      </c>
      <c r="G28" s="30">
        <v>104876.8</v>
      </c>
      <c r="H28" s="30" t="str">
        <v>Mid/Small Cap</v>
      </c>
      <c r="I28" s="32">
        <v>10983803.239352129</v>
      </c>
      <c r="J28" s="2"/>
      <c r="K28">
        <f>VLOOKUP(Governance!A28,Governance!A28:E127,5,FALSE)</f>
        <v>93</v>
      </c>
      <c r="L28">
        <f>_xlfn.XLOOKUP(Governance!A28,Governance!$A$2:$A$101,Governance!$E$2:$E$101,"Not Found",0)</f>
        <v>93</v>
      </c>
      <c r="M28">
        <f t="shared" si="0"/>
        <v>93</v>
      </c>
      <c r="N28" s="33" t="str" cm="1">
        <f t="array" ref="N28">_xlfn.IFS(L28&gt;=80,"Low Risk",L28&gt;=50,"Medium Risk",TRUE,"High Risk")</f>
        <v>Low Risk</v>
      </c>
      <c r="O28">
        <f>INDEX(Environmental!$A$2:$I$101,MATCH(Environmental!C28,Environmental!$C$2:$C$101,0),3)</f>
        <v>4028</v>
      </c>
    </row>
    <row r="29" spans="1:15" x14ac:dyDescent="0.35">
      <c r="A29" s="30">
        <v>28</v>
      </c>
      <c r="B29" s="30" t="s">
        <v>59</v>
      </c>
      <c r="C29" s="30" t="s">
        <v>38</v>
      </c>
      <c r="D29" s="30" t="s">
        <v>30</v>
      </c>
      <c r="E29" s="30">
        <v>2464</v>
      </c>
      <c r="F29" s="30">
        <v>1650</v>
      </c>
      <c r="G29" s="30">
        <v>103693.9</v>
      </c>
      <c r="H29" s="30" t="str">
        <v>Mid/Small Cap</v>
      </c>
      <c r="I29" s="32">
        <v>669642.85714285716</v>
      </c>
      <c r="J29" s="2"/>
      <c r="K29">
        <f>VLOOKUP(Governance!A29,Governance!A29:E128,5,FALSE)</f>
        <v>64</v>
      </c>
      <c r="L29">
        <f>_xlfn.XLOOKUP(Governance!A29,Governance!$A$2:$A$101,Governance!$E$2:$E$101,"Not Found",0)</f>
        <v>64</v>
      </c>
      <c r="M29">
        <f t="shared" si="0"/>
        <v>64</v>
      </c>
      <c r="N29" s="33" t="str" cm="1">
        <f t="array" ref="N29">_xlfn.IFS(L29&gt;=80,"Low Risk",L29&gt;=50,"Medium Risk",TRUE,"High Risk")</f>
        <v>Medium Risk</v>
      </c>
      <c r="O29">
        <f>INDEX(Environmental!$A$2:$I$101,MATCH(Environmental!C29,Environmental!$C$2:$C$101,0),3)</f>
        <v>4369</v>
      </c>
    </row>
    <row r="30" spans="1:15" x14ac:dyDescent="0.35">
      <c r="A30" s="30">
        <v>29</v>
      </c>
      <c r="B30" s="30" t="s">
        <v>60</v>
      </c>
      <c r="C30" s="30" t="s">
        <v>19</v>
      </c>
      <c r="D30" s="30" t="s">
        <v>42</v>
      </c>
      <c r="E30" s="30">
        <v>14272</v>
      </c>
      <c r="F30" s="30">
        <v>23135</v>
      </c>
      <c r="G30" s="30">
        <v>101533.6</v>
      </c>
      <c r="H30" s="30" t="str">
        <v>Large Cap</v>
      </c>
      <c r="I30" s="32">
        <v>1621006.1659192825</v>
      </c>
      <c r="J30" s="2"/>
      <c r="K30">
        <f>VLOOKUP(Governance!A30,Governance!A30:E129,5,FALSE)</f>
        <v>82</v>
      </c>
      <c r="L30">
        <f>_xlfn.XLOOKUP(Governance!A30,Governance!$A$2:$A$101,Governance!$E$2:$E$101,"Not Found",0)</f>
        <v>82</v>
      </c>
      <c r="M30">
        <f t="shared" si="0"/>
        <v>82</v>
      </c>
      <c r="N30" s="33" t="str" cm="1">
        <f t="array" ref="N30">_xlfn.IFS(L30&gt;=80,"Low Risk",L30&gt;=50,"Medium Risk",TRUE,"High Risk")</f>
        <v>Low Risk</v>
      </c>
      <c r="O30">
        <f>INDEX(Environmental!$A$2:$I$101,MATCH(Environmental!C30,Environmental!$C$2:$C$101,0),3)</f>
        <v>7335</v>
      </c>
    </row>
    <row r="31" spans="1:15" x14ac:dyDescent="0.35">
      <c r="A31" s="30">
        <v>30</v>
      </c>
      <c r="B31" s="30" t="s">
        <v>61</v>
      </c>
      <c r="C31" s="30" t="s">
        <v>22</v>
      </c>
      <c r="D31" s="30" t="s">
        <v>42</v>
      </c>
      <c r="E31" s="30">
        <v>6420</v>
      </c>
      <c r="F31" s="30">
        <v>10791</v>
      </c>
      <c r="G31" s="30">
        <v>100074.6</v>
      </c>
      <c r="H31" s="30" t="str">
        <v>Mid/Small Cap</v>
      </c>
      <c r="I31" s="32">
        <v>1680841.1214953272</v>
      </c>
      <c r="J31" s="2"/>
      <c r="K31">
        <f>VLOOKUP(Governance!A31,Governance!A31:E130,5,FALSE)</f>
        <v>42</v>
      </c>
      <c r="L31">
        <f>_xlfn.XLOOKUP(Governance!A31,Governance!$A$2:$A$101,Governance!$E$2:$E$101,"Not Found",0)</f>
        <v>42</v>
      </c>
      <c r="M31">
        <f t="shared" si="0"/>
        <v>42</v>
      </c>
      <c r="N31" s="33" t="str" cm="1">
        <f t="array" ref="N31">_xlfn.IFS(L31&gt;=80,"Low Risk",L31&gt;=50,"Medium Risk",TRUE,"High Risk")</f>
        <v>High Risk</v>
      </c>
      <c r="O31">
        <f>INDEX(Environmental!$A$2:$I$101,MATCH(Environmental!C31,Environmental!$C$2:$C$101,0),3)</f>
        <v>7359</v>
      </c>
    </row>
    <row r="32" spans="1:15" x14ac:dyDescent="0.35">
      <c r="A32" s="30">
        <v>31</v>
      </c>
      <c r="B32" s="30" t="s">
        <v>62</v>
      </c>
      <c r="C32" s="30" t="s">
        <v>35</v>
      </c>
      <c r="D32" s="30" t="s">
        <v>15</v>
      </c>
      <c r="E32" s="30">
        <v>6521</v>
      </c>
      <c r="F32" s="30">
        <v>29747</v>
      </c>
      <c r="G32" s="30">
        <v>98624.6</v>
      </c>
      <c r="H32" s="30" t="str">
        <v>Large Cap</v>
      </c>
      <c r="I32" s="32">
        <v>4561723.6620150283</v>
      </c>
      <c r="J32" s="2"/>
      <c r="K32">
        <f>VLOOKUP(Governance!A32,Governance!A32:E131,5,FALSE)</f>
        <v>62</v>
      </c>
      <c r="L32">
        <f>_xlfn.XLOOKUP(Governance!A32,Governance!$A$2:$A$101,Governance!$E$2:$E$101,"Not Found",0)</f>
        <v>62</v>
      </c>
      <c r="M32">
        <f t="shared" si="0"/>
        <v>62</v>
      </c>
      <c r="N32" s="33" t="str" cm="1">
        <f t="array" ref="N32">_xlfn.IFS(L32&gt;=80,"Low Risk",L32&gt;=50,"Medium Risk",TRUE,"High Risk")</f>
        <v>Medium Risk</v>
      </c>
      <c r="O32">
        <f>INDEX(Environmental!$A$2:$I$101,MATCH(Environmental!C32,Environmental!$C$2:$C$101,0),3)</f>
        <v>1310</v>
      </c>
    </row>
    <row r="33" spans="1:15" x14ac:dyDescent="0.35">
      <c r="A33" s="30">
        <v>32</v>
      </c>
      <c r="B33" s="30" t="s">
        <v>63</v>
      </c>
      <c r="C33" s="30" t="s">
        <v>16</v>
      </c>
      <c r="D33" s="30" t="s">
        <v>42</v>
      </c>
      <c r="E33" s="30">
        <v>8340</v>
      </c>
      <c r="F33" s="30">
        <v>4234</v>
      </c>
      <c r="G33" s="30">
        <v>97049.4</v>
      </c>
      <c r="H33" s="30" t="str">
        <v>Mid/Small Cap</v>
      </c>
      <c r="I33" s="32">
        <v>507673.86091127101</v>
      </c>
      <c r="J33" s="2"/>
      <c r="K33">
        <f>VLOOKUP(Governance!A33,Governance!A33:E132,5,FALSE)</f>
        <v>40</v>
      </c>
      <c r="L33">
        <f>_xlfn.XLOOKUP(Governance!A33,Governance!$A$2:$A$101,Governance!$E$2:$E$101,"Not Found",0)</f>
        <v>40</v>
      </c>
      <c r="M33">
        <f t="shared" si="0"/>
        <v>40</v>
      </c>
      <c r="N33" s="33" t="str" cm="1">
        <f t="array" ref="N33">_xlfn.IFS(L33&gt;=80,"Low Risk",L33&gt;=50,"Medium Risk",TRUE,"High Risk")</f>
        <v>High Risk</v>
      </c>
      <c r="O33">
        <f>INDEX(Environmental!$A$2:$I$101,MATCH(Environmental!C33,Environmental!$C$2:$C$101,0),3)</f>
        <v>4562</v>
      </c>
    </row>
    <row r="34" spans="1:15" x14ac:dyDescent="0.35">
      <c r="A34" s="30">
        <v>33</v>
      </c>
      <c r="B34" s="30" t="s">
        <v>64</v>
      </c>
      <c r="C34" s="30" t="s">
        <v>16</v>
      </c>
      <c r="D34" s="30" t="s">
        <v>28</v>
      </c>
      <c r="E34" s="30">
        <v>13596</v>
      </c>
      <c r="F34" s="30">
        <v>3573</v>
      </c>
      <c r="G34" s="30">
        <v>90595.4</v>
      </c>
      <c r="H34" s="30" t="str">
        <v>Mid/Small Cap</v>
      </c>
      <c r="I34" s="32">
        <v>262797.88172992057</v>
      </c>
      <c r="J34" s="2"/>
      <c r="K34">
        <f>VLOOKUP(Governance!A34,Governance!A34:E133,5,FALSE)</f>
        <v>93</v>
      </c>
      <c r="L34">
        <f>_xlfn.XLOOKUP(Governance!A34,Governance!$A$2:$A$101,Governance!$E$2:$E$101,"Not Found",0)</f>
        <v>93</v>
      </c>
      <c r="M34">
        <f t="shared" si="0"/>
        <v>93</v>
      </c>
      <c r="N34" s="33" t="str" cm="1">
        <f t="array" ref="N34">_xlfn.IFS(L34&gt;=80,"Low Risk",L34&gt;=50,"Medium Risk",TRUE,"High Risk")</f>
        <v>Low Risk</v>
      </c>
      <c r="O34">
        <f>INDEX(Environmental!$A$2:$I$101,MATCH(Environmental!C34,Environmental!$C$2:$C$101,0),3)</f>
        <v>2155</v>
      </c>
    </row>
    <row r="35" spans="1:15" x14ac:dyDescent="0.35">
      <c r="A35" s="30">
        <v>34</v>
      </c>
      <c r="B35" s="30" t="s">
        <v>65</v>
      </c>
      <c r="C35" s="30" t="s">
        <v>35</v>
      </c>
      <c r="D35" s="30" t="s">
        <v>20</v>
      </c>
      <c r="E35" s="30">
        <v>9353</v>
      </c>
      <c r="F35" s="30">
        <v>19665</v>
      </c>
      <c r="G35" s="30">
        <v>89387.7</v>
      </c>
      <c r="H35" s="30" t="str">
        <v>Mid/Small Cap</v>
      </c>
      <c r="I35" s="32">
        <v>2102533.9463273818</v>
      </c>
      <c r="J35" s="2"/>
      <c r="K35">
        <f>VLOOKUP(Governance!A35,Governance!A35:E134,5,FALSE)</f>
        <v>55</v>
      </c>
      <c r="L35">
        <f>_xlfn.XLOOKUP(Governance!A35,Governance!$A$2:$A$101,Governance!$E$2:$E$101,"Not Found",0)</f>
        <v>55</v>
      </c>
      <c r="M35">
        <f t="shared" si="0"/>
        <v>55</v>
      </c>
      <c r="N35" s="33" t="str" cm="1">
        <f t="array" ref="N35">_xlfn.IFS(L35&gt;=80,"Low Risk",L35&gt;=50,"Medium Risk",TRUE,"High Risk")</f>
        <v>Medium Risk</v>
      </c>
      <c r="O35">
        <f>INDEX(Environmental!$A$2:$I$101,MATCH(Environmental!C35,Environmental!$C$2:$C$101,0),3)</f>
        <v>5613</v>
      </c>
    </row>
    <row r="36" spans="1:15" x14ac:dyDescent="0.35">
      <c r="A36" s="30">
        <v>35</v>
      </c>
      <c r="B36" s="30" t="s">
        <v>66</v>
      </c>
      <c r="C36" s="30" t="s">
        <v>16</v>
      </c>
      <c r="D36" s="30" t="s">
        <v>15</v>
      </c>
      <c r="E36" s="30">
        <v>3447</v>
      </c>
      <c r="F36" s="30">
        <v>6967</v>
      </c>
      <c r="G36" s="30">
        <v>89117</v>
      </c>
      <c r="H36" s="30" t="str">
        <v>Mid/Small Cap</v>
      </c>
      <c r="I36" s="32">
        <v>2021177.8357992456</v>
      </c>
      <c r="J36" s="2"/>
      <c r="K36">
        <f>VLOOKUP(Governance!A36,Governance!A36:E135,5,FALSE)</f>
        <v>89</v>
      </c>
      <c r="L36">
        <f>_xlfn.XLOOKUP(Governance!A36,Governance!$A$2:$A$101,Governance!$E$2:$E$101,"Not Found",0)</f>
        <v>89</v>
      </c>
      <c r="M36">
        <f t="shared" si="0"/>
        <v>89</v>
      </c>
      <c r="N36" s="33" t="str" cm="1">
        <f t="array" ref="N36">_xlfn.IFS(L36&gt;=80,"Low Risk",L36&gt;=50,"Medium Risk",TRUE,"High Risk")</f>
        <v>Low Risk</v>
      </c>
      <c r="O36">
        <f>INDEX(Environmental!$A$2:$I$101,MATCH(Environmental!C36,Environmental!$C$2:$C$101,0),3)</f>
        <v>2454</v>
      </c>
    </row>
    <row r="37" spans="1:15" x14ac:dyDescent="0.35">
      <c r="A37" s="30">
        <v>36</v>
      </c>
      <c r="B37" s="30" t="s">
        <v>67</v>
      </c>
      <c r="C37" s="30" t="s">
        <v>14</v>
      </c>
      <c r="D37" s="30" t="s">
        <v>20</v>
      </c>
      <c r="E37" s="30">
        <v>12117</v>
      </c>
      <c r="F37" s="30">
        <v>22933</v>
      </c>
      <c r="G37" s="30">
        <v>88669.1</v>
      </c>
      <c r="H37" s="30" t="str">
        <v>Large Cap</v>
      </c>
      <c r="I37" s="32">
        <v>1892630.1889906742</v>
      </c>
      <c r="J37" s="2"/>
      <c r="K37">
        <f>VLOOKUP(Governance!A37,Governance!A37:E136,5,FALSE)</f>
        <v>89</v>
      </c>
      <c r="L37">
        <f>_xlfn.XLOOKUP(Governance!A37,Governance!$A$2:$A$101,Governance!$E$2:$E$101,"Not Found",0)</f>
        <v>89</v>
      </c>
      <c r="M37">
        <f t="shared" si="0"/>
        <v>89</v>
      </c>
      <c r="N37" s="33" t="str" cm="1">
        <f t="array" ref="N37">_xlfn.IFS(L37&gt;=80,"Low Risk",L37&gt;=50,"Medium Risk",TRUE,"High Risk")</f>
        <v>Low Risk</v>
      </c>
      <c r="O37">
        <f>INDEX(Environmental!$A$2:$I$101,MATCH(Environmental!C37,Environmental!$C$2:$C$101,0),3)</f>
        <v>2882</v>
      </c>
    </row>
    <row r="38" spans="1:15" x14ac:dyDescent="0.35">
      <c r="A38" s="30">
        <v>37</v>
      </c>
      <c r="B38" s="30" t="s">
        <v>68</v>
      </c>
      <c r="C38" s="30" t="s">
        <v>14</v>
      </c>
      <c r="D38" s="30" t="s">
        <v>30</v>
      </c>
      <c r="E38" s="30">
        <v>6547</v>
      </c>
      <c r="F38" s="30">
        <v>12728</v>
      </c>
      <c r="G38" s="30">
        <v>88367.9</v>
      </c>
      <c r="H38" s="30" t="str">
        <v>Mid/Small Cap</v>
      </c>
      <c r="I38" s="32">
        <v>1944096.5327630977</v>
      </c>
      <c r="J38" s="2"/>
      <c r="K38">
        <f>VLOOKUP(Governance!A38,Governance!A38:E137,5,FALSE)</f>
        <v>89</v>
      </c>
      <c r="L38">
        <f>_xlfn.XLOOKUP(Governance!A38,Governance!$A$2:$A$101,Governance!$E$2:$E$101,"Not Found",0)</f>
        <v>89</v>
      </c>
      <c r="M38">
        <f t="shared" si="0"/>
        <v>89</v>
      </c>
      <c r="N38" s="33" t="str" cm="1">
        <f t="array" ref="N38">_xlfn.IFS(L38&gt;=80,"Low Risk",L38&gt;=50,"Medium Risk",TRUE,"High Risk")</f>
        <v>Low Risk</v>
      </c>
      <c r="O38">
        <f>INDEX(Environmental!$A$2:$I$101,MATCH(Environmental!C38,Environmental!$C$2:$C$101,0),3)</f>
        <v>2821</v>
      </c>
    </row>
    <row r="39" spans="1:15" x14ac:dyDescent="0.35">
      <c r="A39" s="30">
        <v>38</v>
      </c>
      <c r="B39" s="30" t="s">
        <v>69</v>
      </c>
      <c r="C39" s="30" t="s">
        <v>22</v>
      </c>
      <c r="D39" s="30" t="s">
        <v>20</v>
      </c>
      <c r="E39" s="30">
        <v>18173</v>
      </c>
      <c r="F39" s="30">
        <v>10965</v>
      </c>
      <c r="G39" s="30">
        <v>87721.600000000006</v>
      </c>
      <c r="H39" s="30" t="str">
        <v>Mid/Small Cap</v>
      </c>
      <c r="I39" s="32">
        <v>603367.63330215157</v>
      </c>
      <c r="J39" s="2"/>
      <c r="K39">
        <f>VLOOKUP(Governance!A39,Governance!A39:E138,5,FALSE)</f>
        <v>51</v>
      </c>
      <c r="L39">
        <f>_xlfn.XLOOKUP(Governance!A39,Governance!$A$2:$A$101,Governance!$E$2:$E$101,"Not Found",0)</f>
        <v>51</v>
      </c>
      <c r="M39">
        <f t="shared" si="0"/>
        <v>51</v>
      </c>
      <c r="N39" s="33" t="str" cm="1">
        <f t="array" ref="N39">_xlfn.IFS(L39&gt;=80,"Low Risk",L39&gt;=50,"Medium Risk",TRUE,"High Risk")</f>
        <v>Medium Risk</v>
      </c>
      <c r="O39">
        <f>INDEX(Environmental!$A$2:$I$101,MATCH(Environmental!C39,Environmental!$C$2:$C$101,0),3)</f>
        <v>3403</v>
      </c>
    </row>
    <row r="40" spans="1:15" x14ac:dyDescent="0.35">
      <c r="A40" s="30">
        <v>39</v>
      </c>
      <c r="B40" s="30" t="s">
        <v>70</v>
      </c>
      <c r="C40" s="30" t="s">
        <v>14</v>
      </c>
      <c r="D40" s="30" t="s">
        <v>15</v>
      </c>
      <c r="E40" s="30">
        <v>6710</v>
      </c>
      <c r="F40" s="30">
        <v>5827</v>
      </c>
      <c r="G40" s="30">
        <v>83098.5</v>
      </c>
      <c r="H40" s="30" t="str">
        <v>Mid/Small Cap</v>
      </c>
      <c r="I40" s="32">
        <v>868405.36512667662</v>
      </c>
      <c r="J40" s="2"/>
      <c r="K40">
        <f>VLOOKUP(Governance!A40,Governance!A40:E139,5,FALSE)</f>
        <v>49</v>
      </c>
      <c r="L40">
        <f>_xlfn.XLOOKUP(Governance!A40,Governance!$A$2:$A$101,Governance!$E$2:$E$101,"Not Found",0)</f>
        <v>49</v>
      </c>
      <c r="M40">
        <f t="shared" si="0"/>
        <v>49</v>
      </c>
      <c r="N40" s="33" t="str" cm="1">
        <f t="array" ref="N40">_xlfn.IFS(L40&gt;=80,"Low Risk",L40&gt;=50,"Medium Risk",TRUE,"High Risk")</f>
        <v>High Risk</v>
      </c>
      <c r="O40">
        <f>INDEX(Environmental!$A$2:$I$101,MATCH(Environmental!C40,Environmental!$C$2:$C$101,0),3)</f>
        <v>5325</v>
      </c>
    </row>
    <row r="41" spans="1:15" x14ac:dyDescent="0.35">
      <c r="A41" s="30">
        <v>40</v>
      </c>
      <c r="B41" s="30" t="s">
        <v>71</v>
      </c>
      <c r="C41" s="30" t="s">
        <v>16</v>
      </c>
      <c r="D41" s="30" t="s">
        <v>15</v>
      </c>
      <c r="E41" s="30">
        <v>11468</v>
      </c>
      <c r="F41" s="30">
        <v>28969</v>
      </c>
      <c r="G41" s="30">
        <v>81339.3</v>
      </c>
      <c r="H41" s="30" t="str">
        <v>Large Cap</v>
      </c>
      <c r="I41" s="32">
        <v>2526072.5497035231</v>
      </c>
      <c r="J41" s="2"/>
      <c r="K41">
        <f>VLOOKUP(Governance!A41,Governance!A41:E140,5,FALSE)</f>
        <v>41</v>
      </c>
      <c r="L41">
        <f>_xlfn.XLOOKUP(Governance!A41,Governance!$A$2:$A$101,Governance!$E$2:$E$101,"Not Found",0)</f>
        <v>41</v>
      </c>
      <c r="M41">
        <f t="shared" si="0"/>
        <v>41</v>
      </c>
      <c r="N41" s="33" t="str" cm="1">
        <f t="array" ref="N41">_xlfn.IFS(L41&gt;=80,"Low Risk",L41&gt;=50,"Medium Risk",TRUE,"High Risk")</f>
        <v>High Risk</v>
      </c>
      <c r="O41">
        <f>INDEX(Environmental!$A$2:$I$101,MATCH(Environmental!C41,Environmental!$C$2:$C$101,0),3)</f>
        <v>4720</v>
      </c>
    </row>
    <row r="42" spans="1:15" x14ac:dyDescent="0.35">
      <c r="A42" s="30">
        <v>41</v>
      </c>
      <c r="B42" s="30" t="s">
        <v>72</v>
      </c>
      <c r="C42" s="30" t="s">
        <v>22</v>
      </c>
      <c r="D42" s="30" t="s">
        <v>20</v>
      </c>
      <c r="E42" s="30">
        <v>6791</v>
      </c>
      <c r="F42" s="30">
        <v>20416</v>
      </c>
      <c r="G42" s="30">
        <v>80536.899999999994</v>
      </c>
      <c r="H42" s="30" t="str">
        <v>Large Cap</v>
      </c>
      <c r="I42" s="32">
        <v>3006331.9098807243</v>
      </c>
      <c r="J42" s="2"/>
      <c r="K42">
        <f>VLOOKUP(Governance!A42,Governance!A42:E141,5,FALSE)</f>
        <v>48</v>
      </c>
      <c r="L42">
        <f>_xlfn.XLOOKUP(Governance!A42,Governance!$A$2:$A$101,Governance!$E$2:$E$101,"Not Found",0)</f>
        <v>48</v>
      </c>
      <c r="M42">
        <f t="shared" si="0"/>
        <v>48</v>
      </c>
      <c r="N42" s="33" t="str" cm="1">
        <f t="array" ref="N42">_xlfn.IFS(L42&gt;=80,"Low Risk",L42&gt;=50,"Medium Risk",TRUE,"High Risk")</f>
        <v>High Risk</v>
      </c>
      <c r="O42">
        <f>INDEX(Environmental!$A$2:$I$101,MATCH(Environmental!C42,Environmental!$C$2:$C$101,0),3)</f>
        <v>1029</v>
      </c>
    </row>
    <row r="43" spans="1:15" x14ac:dyDescent="0.35">
      <c r="A43" s="30">
        <v>42</v>
      </c>
      <c r="B43" s="30" t="s">
        <v>73</v>
      </c>
      <c r="C43" s="30" t="s">
        <v>22</v>
      </c>
      <c r="D43" s="30" t="s">
        <v>20</v>
      </c>
      <c r="E43" s="30">
        <v>2611</v>
      </c>
      <c r="F43" s="30">
        <v>7331</v>
      </c>
      <c r="G43" s="30">
        <v>75183.7</v>
      </c>
      <c r="H43" s="30" t="str">
        <v>Mid/Small Cap</v>
      </c>
      <c r="I43" s="32">
        <v>2807736.4994255076</v>
      </c>
      <c r="J43" s="2"/>
      <c r="K43">
        <f>VLOOKUP(Governance!A43,Governance!A43:E142,5,FALSE)</f>
        <v>70</v>
      </c>
      <c r="L43">
        <f>_xlfn.XLOOKUP(Governance!A43,Governance!$A$2:$A$101,Governance!$E$2:$E$101,"Not Found",0)</f>
        <v>70</v>
      </c>
      <c r="M43">
        <f t="shared" si="0"/>
        <v>70</v>
      </c>
      <c r="N43" s="33" t="str" cm="1">
        <f t="array" ref="N43">_xlfn.IFS(L43&gt;=80,"Low Risk",L43&gt;=50,"Medium Risk",TRUE,"High Risk")</f>
        <v>Medium Risk</v>
      </c>
      <c r="O43">
        <f>INDEX(Environmental!$A$2:$I$101,MATCH(Environmental!C43,Environmental!$C$2:$C$101,0),3)</f>
        <v>3319</v>
      </c>
    </row>
    <row r="44" spans="1:15" x14ac:dyDescent="0.35">
      <c r="A44" s="30">
        <v>43</v>
      </c>
      <c r="B44" s="30" t="s">
        <v>74</v>
      </c>
      <c r="C44" s="30" t="s">
        <v>19</v>
      </c>
      <c r="D44" s="30" t="s">
        <v>30</v>
      </c>
      <c r="E44" s="30">
        <v>5176</v>
      </c>
      <c r="F44" s="30">
        <v>9009</v>
      </c>
      <c r="G44" s="30">
        <v>74222.8</v>
      </c>
      <c r="H44" s="30" t="str">
        <v>Mid/Small Cap</v>
      </c>
      <c r="I44" s="32">
        <v>1740533.230293663</v>
      </c>
      <c r="J44" s="2"/>
      <c r="K44">
        <f>VLOOKUP(Governance!A44,Governance!A44:E143,5,FALSE)</f>
        <v>81</v>
      </c>
      <c r="L44">
        <f>_xlfn.XLOOKUP(Governance!A44,Governance!$A$2:$A$101,Governance!$E$2:$E$101,"Not Found",0)</f>
        <v>81</v>
      </c>
      <c r="M44">
        <f t="shared" si="0"/>
        <v>81</v>
      </c>
      <c r="N44" s="33" t="str" cm="1">
        <f t="array" ref="N44">_xlfn.IFS(L44&gt;=80,"Low Risk",L44&gt;=50,"Medium Risk",TRUE,"High Risk")</f>
        <v>Low Risk</v>
      </c>
      <c r="O44">
        <f>INDEX(Environmental!$A$2:$I$101,MATCH(Environmental!C44,Environmental!$C$2:$C$101,0),3)</f>
        <v>4152</v>
      </c>
    </row>
    <row r="45" spans="1:15" x14ac:dyDescent="0.35">
      <c r="A45" s="30">
        <v>44</v>
      </c>
      <c r="B45" s="30" t="s">
        <v>75</v>
      </c>
      <c r="C45" s="30" t="s">
        <v>16</v>
      </c>
      <c r="D45" s="30" t="s">
        <v>25</v>
      </c>
      <c r="E45" s="30">
        <v>7175</v>
      </c>
      <c r="F45" s="30">
        <v>223</v>
      </c>
      <c r="G45" s="30">
        <v>73885</v>
      </c>
      <c r="H45" s="30" t="str">
        <v>Mid/Small Cap</v>
      </c>
      <c r="I45" s="32">
        <v>31080.139372822301</v>
      </c>
      <c r="J45" s="2"/>
      <c r="K45">
        <f>VLOOKUP(Governance!A45,Governance!A45:E144,5,FALSE)</f>
        <v>71</v>
      </c>
      <c r="L45">
        <f>_xlfn.XLOOKUP(Governance!A45,Governance!$A$2:$A$101,Governance!$E$2:$E$101,"Not Found",0)</f>
        <v>71</v>
      </c>
      <c r="M45">
        <f t="shared" si="0"/>
        <v>71</v>
      </c>
      <c r="N45" s="33" t="str" cm="1">
        <f t="array" ref="N45">_xlfn.IFS(L45&gt;=80,"Low Risk",L45&gt;=50,"Medium Risk",TRUE,"High Risk")</f>
        <v>Medium Risk</v>
      </c>
      <c r="O45">
        <f>INDEX(Environmental!$A$2:$I$101,MATCH(Environmental!C45,Environmental!$C$2:$C$101,0),3)</f>
        <v>4979</v>
      </c>
    </row>
    <row r="46" spans="1:15" x14ac:dyDescent="0.35">
      <c r="A46" s="30">
        <v>45</v>
      </c>
      <c r="B46" s="30" t="s">
        <v>76</v>
      </c>
      <c r="C46" s="30" t="s">
        <v>19</v>
      </c>
      <c r="D46" s="30" t="s">
        <v>42</v>
      </c>
      <c r="E46" s="30">
        <v>11750</v>
      </c>
      <c r="F46" s="30">
        <v>24302</v>
      </c>
      <c r="G46" s="30">
        <v>69296</v>
      </c>
      <c r="H46" s="30" t="str">
        <v>Large Cap</v>
      </c>
      <c r="I46" s="32">
        <v>2068255.3191489361</v>
      </c>
      <c r="J46" s="2"/>
      <c r="K46">
        <f>VLOOKUP(Governance!A46,Governance!A46:E145,5,FALSE)</f>
        <v>54</v>
      </c>
      <c r="L46">
        <f>_xlfn.XLOOKUP(Governance!A46,Governance!$A$2:$A$101,Governance!$E$2:$E$101,"Not Found",0)</f>
        <v>54</v>
      </c>
      <c r="M46">
        <f t="shared" si="0"/>
        <v>54</v>
      </c>
      <c r="N46" s="33" t="str" cm="1">
        <f t="array" ref="N46">_xlfn.IFS(L46&gt;=80,"Low Risk",L46&gt;=50,"Medium Risk",TRUE,"High Risk")</f>
        <v>Medium Risk</v>
      </c>
      <c r="O46">
        <f>INDEX(Environmental!$A$2:$I$101,MATCH(Environmental!C46,Environmental!$C$2:$C$101,0),3)</f>
        <v>7829</v>
      </c>
    </row>
    <row r="47" spans="1:15" x14ac:dyDescent="0.35">
      <c r="A47" s="30">
        <v>46</v>
      </c>
      <c r="B47" s="30" t="s">
        <v>77</v>
      </c>
      <c r="C47" s="30" t="s">
        <v>19</v>
      </c>
      <c r="D47" s="30" t="s">
        <v>30</v>
      </c>
      <c r="E47" s="30">
        <v>1795</v>
      </c>
      <c r="F47" s="30">
        <v>4593</v>
      </c>
      <c r="G47" s="30">
        <v>67807.8</v>
      </c>
      <c r="H47" s="30" t="str">
        <v>Mid/Small Cap</v>
      </c>
      <c r="I47" s="32">
        <v>2558774.3732590531</v>
      </c>
      <c r="J47" s="2"/>
      <c r="K47">
        <f>VLOOKUP(Governance!A47,Governance!A47:E146,5,FALSE)</f>
        <v>60</v>
      </c>
      <c r="L47">
        <f>_xlfn.XLOOKUP(Governance!A47,Governance!$A$2:$A$101,Governance!$E$2:$E$101,"Not Found",0)</f>
        <v>60</v>
      </c>
      <c r="M47">
        <f t="shared" si="0"/>
        <v>60</v>
      </c>
      <c r="N47" s="33" t="str" cm="1">
        <f t="array" ref="N47">_xlfn.IFS(L47&gt;=80,"Low Risk",L47&gt;=50,"Medium Risk",TRUE,"High Risk")</f>
        <v>Medium Risk</v>
      </c>
      <c r="O47">
        <f>INDEX(Environmental!$A$2:$I$101,MATCH(Environmental!C47,Environmental!$C$2:$C$101,0),3)</f>
        <v>973</v>
      </c>
    </row>
    <row r="48" spans="1:15" x14ac:dyDescent="0.35">
      <c r="A48" s="30">
        <v>47</v>
      </c>
      <c r="B48" s="30" t="s">
        <v>78</v>
      </c>
      <c r="C48" s="30" t="s">
        <v>14</v>
      </c>
      <c r="D48" s="30" t="s">
        <v>25</v>
      </c>
      <c r="E48" s="30">
        <v>14602</v>
      </c>
      <c r="F48" s="30">
        <v>19725</v>
      </c>
      <c r="G48" s="30">
        <v>66493.100000000006</v>
      </c>
      <c r="H48" s="30" t="str">
        <v>Mid/Small Cap</v>
      </c>
      <c r="I48" s="32">
        <v>1350842.350362964</v>
      </c>
      <c r="J48" s="2"/>
      <c r="K48">
        <f>VLOOKUP(Governance!A48,Governance!A48:E147,5,FALSE)</f>
        <v>86</v>
      </c>
      <c r="L48">
        <f>_xlfn.XLOOKUP(Governance!A48,Governance!$A$2:$A$101,Governance!$E$2:$E$101,"Not Found",0)</f>
        <v>86</v>
      </c>
      <c r="M48">
        <f t="shared" si="0"/>
        <v>86</v>
      </c>
      <c r="N48" s="33" t="str" cm="1">
        <f t="array" ref="N48">_xlfn.IFS(L48&gt;=80,"Low Risk",L48&gt;=50,"Medium Risk",TRUE,"High Risk")</f>
        <v>Low Risk</v>
      </c>
      <c r="O48">
        <f>INDEX(Environmental!$A$2:$I$101,MATCH(Environmental!C48,Environmental!$C$2:$C$101,0),3)</f>
        <v>1455</v>
      </c>
    </row>
    <row r="49" spans="1:15" x14ac:dyDescent="0.35">
      <c r="A49" s="30">
        <v>48</v>
      </c>
      <c r="B49" s="30" t="s">
        <v>79</v>
      </c>
      <c r="C49" s="30" t="s">
        <v>14</v>
      </c>
      <c r="D49" s="30" t="s">
        <v>28</v>
      </c>
      <c r="E49" s="30">
        <v>18585</v>
      </c>
      <c r="F49" s="30">
        <v>10025</v>
      </c>
      <c r="G49" s="30">
        <v>66330.7</v>
      </c>
      <c r="H49" s="30" t="str">
        <v>Mid/Small Cap</v>
      </c>
      <c r="I49" s="32">
        <v>539413.50551520044</v>
      </c>
      <c r="J49" s="2"/>
      <c r="K49">
        <f>VLOOKUP(Governance!A49,Governance!A49:E148,5,FALSE)</f>
        <v>48</v>
      </c>
      <c r="L49">
        <f>_xlfn.XLOOKUP(Governance!A49,Governance!$A$2:$A$101,Governance!$E$2:$E$101,"Not Found",0)</f>
        <v>48</v>
      </c>
      <c r="M49">
        <f t="shared" si="0"/>
        <v>48</v>
      </c>
      <c r="N49" s="33" t="str" cm="1">
        <f t="array" ref="N49">_xlfn.IFS(L49&gt;=80,"Low Risk",L49&gt;=50,"Medium Risk",TRUE,"High Risk")</f>
        <v>High Risk</v>
      </c>
      <c r="O49">
        <f>INDEX(Environmental!$A$2:$I$101,MATCH(Environmental!C49,Environmental!$C$2:$C$101,0),3)</f>
        <v>4948</v>
      </c>
    </row>
    <row r="50" spans="1:15" x14ac:dyDescent="0.35">
      <c r="A50" s="30">
        <v>49</v>
      </c>
      <c r="B50" s="30" t="s">
        <v>80</v>
      </c>
      <c r="C50" s="30" t="s">
        <v>19</v>
      </c>
      <c r="D50" s="30" t="s">
        <v>20</v>
      </c>
      <c r="E50" s="30">
        <v>17614</v>
      </c>
      <c r="F50" s="30">
        <v>26297</v>
      </c>
      <c r="G50" s="30">
        <v>63627.4</v>
      </c>
      <c r="H50" s="30" t="str">
        <v>Large Cap</v>
      </c>
      <c r="I50" s="32">
        <v>1492960.1453389348</v>
      </c>
      <c r="J50" s="2"/>
      <c r="K50">
        <f>VLOOKUP(Governance!A50,Governance!A50:E149,5,FALSE)</f>
        <v>78</v>
      </c>
      <c r="L50">
        <f>_xlfn.XLOOKUP(Governance!A50,Governance!$A$2:$A$101,Governance!$E$2:$E$101,"Not Found",0)</f>
        <v>78</v>
      </c>
      <c r="M50">
        <f t="shared" si="0"/>
        <v>78</v>
      </c>
      <c r="N50" s="33" t="str" cm="1">
        <f t="array" ref="N50">_xlfn.IFS(L50&gt;=80,"Low Risk",L50&gt;=50,"Medium Risk",TRUE,"High Risk")</f>
        <v>Medium Risk</v>
      </c>
      <c r="O50">
        <f>INDEX(Environmental!$A$2:$I$101,MATCH(Environmental!C50,Environmental!$C$2:$C$101,0),3)</f>
        <v>1870</v>
      </c>
    </row>
    <row r="51" spans="1:15" x14ac:dyDescent="0.35">
      <c r="A51" s="30">
        <v>50</v>
      </c>
      <c r="B51" s="30" t="s">
        <v>81</v>
      </c>
      <c r="C51" s="30" t="s">
        <v>35</v>
      </c>
      <c r="D51" s="30" t="s">
        <v>25</v>
      </c>
      <c r="E51" s="30">
        <v>14070</v>
      </c>
      <c r="F51" s="30">
        <v>475</v>
      </c>
      <c r="G51" s="30">
        <v>59946.7</v>
      </c>
      <c r="H51" s="30" t="str">
        <v>Mid/Small Cap</v>
      </c>
      <c r="I51" s="32">
        <v>33759.772565742715</v>
      </c>
      <c r="J51" s="2"/>
      <c r="K51">
        <f>VLOOKUP(Governance!A51,Governance!A51:E150,5,FALSE)</f>
        <v>45</v>
      </c>
      <c r="L51">
        <f>_xlfn.XLOOKUP(Governance!A51,Governance!$A$2:$A$101,Governance!$E$2:$E$101,"Not Found",0)</f>
        <v>45</v>
      </c>
      <c r="M51">
        <f t="shared" si="0"/>
        <v>45</v>
      </c>
      <c r="N51" s="33" t="str" cm="1">
        <f t="array" ref="N51">_xlfn.IFS(L51&gt;=80,"Low Risk",L51&gt;=50,"Medium Risk",TRUE,"High Risk")</f>
        <v>High Risk</v>
      </c>
      <c r="O51">
        <f>INDEX(Environmental!$A$2:$I$101,MATCH(Environmental!C51,Environmental!$C$2:$C$101,0),3)</f>
        <v>4580</v>
      </c>
    </row>
    <row r="52" spans="1:15" x14ac:dyDescent="0.35">
      <c r="A52" s="30">
        <v>51</v>
      </c>
      <c r="B52" s="30" t="s">
        <v>82</v>
      </c>
      <c r="C52" s="30" t="s">
        <v>14</v>
      </c>
      <c r="D52" s="30" t="s">
        <v>30</v>
      </c>
      <c r="E52" s="30">
        <v>2226</v>
      </c>
      <c r="F52" s="30">
        <v>11399</v>
      </c>
      <c r="G52" s="30">
        <v>59582.3</v>
      </c>
      <c r="H52" s="30" t="str">
        <v>Mid/Small Cap</v>
      </c>
      <c r="I52" s="32">
        <v>5120844.5642407909</v>
      </c>
      <c r="J52" s="2"/>
      <c r="K52">
        <f>VLOOKUP(Governance!A52,Governance!A52:E151,5,FALSE)</f>
        <v>59</v>
      </c>
      <c r="L52">
        <f>_xlfn.XLOOKUP(Governance!A52,Governance!$A$2:$A$101,Governance!$E$2:$E$101,"Not Found",0)</f>
        <v>59</v>
      </c>
      <c r="M52">
        <f t="shared" si="0"/>
        <v>59</v>
      </c>
      <c r="N52" s="33" t="str" cm="1">
        <f t="array" ref="N52">_xlfn.IFS(L52&gt;=80,"Low Risk",L52&gt;=50,"Medium Risk",TRUE,"High Risk")</f>
        <v>Medium Risk</v>
      </c>
      <c r="O52">
        <f>INDEX(Environmental!$A$2:$I$101,MATCH(Environmental!C52,Environmental!$C$2:$C$101,0),3)</f>
        <v>265</v>
      </c>
    </row>
    <row r="53" spans="1:15" x14ac:dyDescent="0.35">
      <c r="A53" s="30">
        <v>52</v>
      </c>
      <c r="B53" s="30" t="s">
        <v>83</v>
      </c>
      <c r="C53" s="30" t="s">
        <v>16</v>
      </c>
      <c r="D53" s="30" t="s">
        <v>30</v>
      </c>
      <c r="E53" s="30">
        <v>19358</v>
      </c>
      <c r="F53" s="30">
        <v>25458</v>
      </c>
      <c r="G53" s="30">
        <v>59119.6</v>
      </c>
      <c r="H53" s="30" t="str">
        <v>Large Cap</v>
      </c>
      <c r="I53" s="32">
        <v>1315115.1978510176</v>
      </c>
      <c r="J53" s="2"/>
      <c r="K53">
        <f>VLOOKUP(Governance!A53,Governance!A53:E152,5,FALSE)</f>
        <v>87</v>
      </c>
      <c r="L53">
        <f>_xlfn.XLOOKUP(Governance!A53,Governance!$A$2:$A$101,Governance!$E$2:$E$101,"Not Found",0)</f>
        <v>87</v>
      </c>
      <c r="M53">
        <f t="shared" si="0"/>
        <v>87</v>
      </c>
      <c r="N53" s="33" t="str" cm="1">
        <f t="array" ref="N53">_xlfn.IFS(L53&gt;=80,"Low Risk",L53&gt;=50,"Medium Risk",TRUE,"High Risk")</f>
        <v>Low Risk</v>
      </c>
      <c r="O53">
        <f>INDEX(Environmental!$A$2:$I$101,MATCH(Environmental!C53,Environmental!$C$2:$C$101,0),3)</f>
        <v>2431</v>
      </c>
    </row>
    <row r="54" spans="1:15" x14ac:dyDescent="0.35">
      <c r="A54" s="30">
        <v>53</v>
      </c>
      <c r="B54" s="30" t="s">
        <v>84</v>
      </c>
      <c r="C54" s="30" t="s">
        <v>38</v>
      </c>
      <c r="D54" s="30" t="s">
        <v>15</v>
      </c>
      <c r="E54" s="30">
        <v>19571</v>
      </c>
      <c r="F54" s="30">
        <v>29411</v>
      </c>
      <c r="G54" s="30">
        <v>57332.7</v>
      </c>
      <c r="H54" s="30" t="str">
        <v>Large Cap</v>
      </c>
      <c r="I54" s="32">
        <v>1502784.7325123907</v>
      </c>
      <c r="J54" s="2"/>
      <c r="K54">
        <f>VLOOKUP(Governance!A54,Governance!A54:E153,5,FALSE)</f>
        <v>48</v>
      </c>
      <c r="L54">
        <f>_xlfn.XLOOKUP(Governance!A54,Governance!$A$2:$A$101,Governance!$E$2:$E$101,"Not Found",0)</f>
        <v>48</v>
      </c>
      <c r="M54">
        <f t="shared" si="0"/>
        <v>48</v>
      </c>
      <c r="N54" s="33" t="str" cm="1">
        <f t="array" ref="N54">_xlfn.IFS(L54&gt;=80,"Low Risk",L54&gt;=50,"Medium Risk",TRUE,"High Risk")</f>
        <v>High Risk</v>
      </c>
      <c r="O54">
        <f>INDEX(Environmental!$A$2:$I$101,MATCH(Environmental!C54,Environmental!$C$2:$C$101,0),3)</f>
        <v>7809</v>
      </c>
    </row>
    <row r="55" spans="1:15" x14ac:dyDescent="0.35">
      <c r="A55" s="30">
        <v>54</v>
      </c>
      <c r="B55" s="30" t="s">
        <v>85</v>
      </c>
      <c r="C55" s="30" t="s">
        <v>14</v>
      </c>
      <c r="D55" s="30" t="s">
        <v>20</v>
      </c>
      <c r="E55" s="30">
        <v>6552</v>
      </c>
      <c r="F55" s="30">
        <v>12963</v>
      </c>
      <c r="G55" s="30">
        <v>55926.7</v>
      </c>
      <c r="H55" s="30" t="str">
        <v>Mid/Small Cap</v>
      </c>
      <c r="I55" s="32">
        <v>1978479.8534798534</v>
      </c>
      <c r="J55" s="2"/>
      <c r="K55">
        <f>VLOOKUP(Governance!A55,Governance!A55:E154,5,FALSE)</f>
        <v>94</v>
      </c>
      <c r="L55">
        <f>_xlfn.XLOOKUP(Governance!A55,Governance!$A$2:$A$101,Governance!$E$2:$E$101,"Not Found",0)</f>
        <v>94</v>
      </c>
      <c r="M55">
        <f t="shared" si="0"/>
        <v>94</v>
      </c>
      <c r="N55" s="33" t="str" cm="1">
        <f t="array" ref="N55">_xlfn.IFS(L55&gt;=80,"Low Risk",L55&gt;=50,"Medium Risk",TRUE,"High Risk")</f>
        <v>Low Risk</v>
      </c>
      <c r="O55">
        <f>INDEX(Environmental!$A$2:$I$101,MATCH(Environmental!C55,Environmental!$C$2:$C$101,0),3)</f>
        <v>2189</v>
      </c>
    </row>
    <row r="56" spans="1:15" x14ac:dyDescent="0.35">
      <c r="A56" s="30">
        <v>55</v>
      </c>
      <c r="B56" s="30" t="s">
        <v>86</v>
      </c>
      <c r="C56" s="30" t="s">
        <v>38</v>
      </c>
      <c r="D56" s="30" t="s">
        <v>25</v>
      </c>
      <c r="E56" s="30">
        <v>10097</v>
      </c>
      <c r="F56" s="30">
        <v>18463</v>
      </c>
      <c r="G56" s="30">
        <v>54894.6</v>
      </c>
      <c r="H56" s="30" t="str">
        <v>Mid/Small Cap</v>
      </c>
      <c r="I56" s="32">
        <v>1828562.9394869762</v>
      </c>
      <c r="J56" s="2"/>
      <c r="K56">
        <f>VLOOKUP(Governance!A56,Governance!A56:E155,5,FALSE)</f>
        <v>87</v>
      </c>
      <c r="L56">
        <f>_xlfn.XLOOKUP(Governance!A56,Governance!$A$2:$A$101,Governance!$E$2:$E$101,"Not Found",0)</f>
        <v>87</v>
      </c>
      <c r="M56">
        <f t="shared" si="0"/>
        <v>87</v>
      </c>
      <c r="N56" s="33" t="str" cm="1">
        <f t="array" ref="N56">_xlfn.IFS(L56&gt;=80,"Low Risk",L56&gt;=50,"Medium Risk",TRUE,"High Risk")</f>
        <v>Low Risk</v>
      </c>
      <c r="O56">
        <f>INDEX(Environmental!$A$2:$I$101,MATCH(Environmental!C56,Environmental!$C$2:$C$101,0),3)</f>
        <v>6564</v>
      </c>
    </row>
    <row r="57" spans="1:15" x14ac:dyDescent="0.35">
      <c r="A57" s="30">
        <v>56</v>
      </c>
      <c r="B57" s="30" t="s">
        <v>87</v>
      </c>
      <c r="C57" s="30" t="s">
        <v>16</v>
      </c>
      <c r="D57" s="30" t="s">
        <v>20</v>
      </c>
      <c r="E57" s="30">
        <v>9671</v>
      </c>
      <c r="F57" s="30">
        <v>14990</v>
      </c>
      <c r="G57" s="30">
        <v>54023.3</v>
      </c>
      <c r="H57" s="30" t="str">
        <v>Mid/Small Cap</v>
      </c>
      <c r="I57" s="32">
        <v>1549994.8299038361</v>
      </c>
      <c r="J57" s="2"/>
      <c r="K57">
        <f>VLOOKUP(Governance!A57,Governance!A57:E156,5,FALSE)</f>
        <v>41</v>
      </c>
      <c r="L57">
        <f>_xlfn.XLOOKUP(Governance!A57,Governance!$A$2:$A$101,Governance!$E$2:$E$101,"Not Found",0)</f>
        <v>41</v>
      </c>
      <c r="M57">
        <f t="shared" si="0"/>
        <v>41</v>
      </c>
      <c r="N57" s="33" t="str" cm="1">
        <f t="array" ref="N57">_xlfn.IFS(L57&gt;=80,"Low Risk",L57&gt;=50,"Medium Risk",TRUE,"High Risk")</f>
        <v>High Risk</v>
      </c>
      <c r="O57">
        <f>INDEX(Environmental!$A$2:$I$101,MATCH(Environmental!C57,Environmental!$C$2:$C$101,0),3)</f>
        <v>3025</v>
      </c>
    </row>
    <row r="58" spans="1:15" x14ac:dyDescent="0.35">
      <c r="A58" s="30">
        <v>57</v>
      </c>
      <c r="B58" s="30" t="s">
        <v>88</v>
      </c>
      <c r="C58" s="30" t="s">
        <v>14</v>
      </c>
      <c r="D58" s="30" t="s">
        <v>15</v>
      </c>
      <c r="E58" s="30">
        <v>17992</v>
      </c>
      <c r="F58" s="30">
        <v>13742</v>
      </c>
      <c r="G58" s="30">
        <v>53125.599999999999</v>
      </c>
      <c r="H58" s="30" t="str">
        <v>Mid/Small Cap</v>
      </c>
      <c r="I58" s="32">
        <v>763783.90395731432</v>
      </c>
      <c r="J58" s="2"/>
      <c r="K58">
        <f>VLOOKUP(Governance!A58,Governance!A58:E157,5,FALSE)</f>
        <v>90</v>
      </c>
      <c r="L58">
        <f>_xlfn.XLOOKUP(Governance!A58,Governance!$A$2:$A$101,Governance!$E$2:$E$101,"Not Found",0)</f>
        <v>90</v>
      </c>
      <c r="M58">
        <f t="shared" si="0"/>
        <v>90</v>
      </c>
      <c r="N58" s="33" t="str" cm="1">
        <f t="array" ref="N58">_xlfn.IFS(L58&gt;=80,"Low Risk",L58&gt;=50,"Medium Risk",TRUE,"High Risk")</f>
        <v>Low Risk</v>
      </c>
      <c r="O58">
        <f>INDEX(Environmental!$A$2:$I$101,MATCH(Environmental!C58,Environmental!$C$2:$C$101,0),3)</f>
        <v>5777</v>
      </c>
    </row>
    <row r="59" spans="1:15" x14ac:dyDescent="0.35">
      <c r="A59" s="30">
        <v>58</v>
      </c>
      <c r="B59" s="30" t="s">
        <v>89</v>
      </c>
      <c r="C59" s="30" t="s">
        <v>19</v>
      </c>
      <c r="D59" s="30" t="s">
        <v>25</v>
      </c>
      <c r="E59" s="30">
        <v>18996</v>
      </c>
      <c r="F59" s="30">
        <v>1745</v>
      </c>
      <c r="G59" s="30">
        <v>51309.2</v>
      </c>
      <c r="H59" s="30" t="str">
        <v>Mid/Small Cap</v>
      </c>
      <c r="I59" s="32">
        <v>91861.444514634655</v>
      </c>
      <c r="J59" s="2"/>
      <c r="K59">
        <f>VLOOKUP(Governance!A59,Governance!A59:E158,5,FALSE)</f>
        <v>70</v>
      </c>
      <c r="L59">
        <f>_xlfn.XLOOKUP(Governance!A59,Governance!$A$2:$A$101,Governance!$E$2:$E$101,"Not Found",0)</f>
        <v>70</v>
      </c>
      <c r="M59">
        <f t="shared" si="0"/>
        <v>70</v>
      </c>
      <c r="N59" s="33" t="str" cm="1">
        <f t="array" ref="N59">_xlfn.IFS(L59&gt;=80,"Low Risk",L59&gt;=50,"Medium Risk",TRUE,"High Risk")</f>
        <v>Medium Risk</v>
      </c>
      <c r="O59">
        <f>INDEX(Environmental!$A$2:$I$101,MATCH(Environmental!C59,Environmental!$C$2:$C$101,0),3)</f>
        <v>7190</v>
      </c>
    </row>
    <row r="60" spans="1:15" x14ac:dyDescent="0.35">
      <c r="A60" s="30">
        <v>59</v>
      </c>
      <c r="B60" s="30" t="s">
        <v>90</v>
      </c>
      <c r="C60" s="30" t="s">
        <v>22</v>
      </c>
      <c r="D60" s="30" t="s">
        <v>20</v>
      </c>
      <c r="E60" s="30">
        <v>18532</v>
      </c>
      <c r="F60" s="30">
        <v>28719</v>
      </c>
      <c r="G60" s="30">
        <v>50006.9</v>
      </c>
      <c r="H60" s="30" t="str">
        <v>Large Cap</v>
      </c>
      <c r="I60" s="32">
        <v>1549697.8199870493</v>
      </c>
      <c r="J60" s="2"/>
      <c r="K60">
        <f>VLOOKUP(Governance!A60,Governance!A60:E159,5,FALSE)</f>
        <v>92</v>
      </c>
      <c r="L60">
        <f>_xlfn.XLOOKUP(Governance!A60,Governance!$A$2:$A$101,Governance!$E$2:$E$101,"Not Found",0)</f>
        <v>92</v>
      </c>
      <c r="M60">
        <f t="shared" si="0"/>
        <v>92</v>
      </c>
      <c r="N60" s="33" t="str" cm="1">
        <f t="array" ref="N60">_xlfn.IFS(L60&gt;=80,"Low Risk",L60&gt;=50,"Medium Risk",TRUE,"High Risk")</f>
        <v>Low Risk</v>
      </c>
      <c r="O60">
        <f>INDEX(Environmental!$A$2:$I$101,MATCH(Environmental!C60,Environmental!$C$2:$C$101,0),3)</f>
        <v>4291</v>
      </c>
    </row>
    <row r="61" spans="1:15" x14ac:dyDescent="0.35">
      <c r="A61" s="30">
        <v>60</v>
      </c>
      <c r="B61" s="30" t="s">
        <v>91</v>
      </c>
      <c r="C61" s="30" t="s">
        <v>16</v>
      </c>
      <c r="D61" s="30" t="s">
        <v>20</v>
      </c>
      <c r="E61" s="30">
        <v>8728</v>
      </c>
      <c r="F61" s="30">
        <v>25705</v>
      </c>
      <c r="G61" s="30">
        <v>49655.4</v>
      </c>
      <c r="H61" s="30" t="str">
        <v>Large Cap</v>
      </c>
      <c r="I61" s="32">
        <v>2945119.1567369387</v>
      </c>
      <c r="J61" s="2"/>
      <c r="K61">
        <f>VLOOKUP(Governance!A61,Governance!A61:E160,5,FALSE)</f>
        <v>70</v>
      </c>
      <c r="L61">
        <f>_xlfn.XLOOKUP(Governance!A61,Governance!$A$2:$A$101,Governance!$E$2:$E$101,"Not Found",0)</f>
        <v>70</v>
      </c>
      <c r="M61">
        <f t="shared" si="0"/>
        <v>70</v>
      </c>
      <c r="N61" s="33" t="str" cm="1">
        <f t="array" ref="N61">_xlfn.IFS(L61&gt;=80,"Low Risk",L61&gt;=50,"Medium Risk",TRUE,"High Risk")</f>
        <v>Medium Risk</v>
      </c>
      <c r="O61">
        <f>INDEX(Environmental!$A$2:$I$101,MATCH(Environmental!C61,Environmental!$C$2:$C$101,0),3)</f>
        <v>3343</v>
      </c>
    </row>
    <row r="62" spans="1:15" x14ac:dyDescent="0.35">
      <c r="A62" s="30">
        <v>61</v>
      </c>
      <c r="B62" s="30" t="s">
        <v>92</v>
      </c>
      <c r="C62" s="30" t="s">
        <v>16</v>
      </c>
      <c r="D62" s="30" t="s">
        <v>30</v>
      </c>
      <c r="E62" s="30">
        <v>13210</v>
      </c>
      <c r="F62" s="30">
        <v>3008</v>
      </c>
      <c r="G62" s="30">
        <v>48721.4</v>
      </c>
      <c r="H62" s="30" t="str">
        <v>Mid/Small Cap</v>
      </c>
      <c r="I62" s="32">
        <v>227706.28311884936</v>
      </c>
      <c r="J62" s="2"/>
      <c r="K62">
        <f>VLOOKUP(Governance!A62,Governance!A62:E161,5,FALSE)</f>
        <v>55</v>
      </c>
      <c r="L62">
        <f>_xlfn.XLOOKUP(Governance!A62,Governance!$A$2:$A$101,Governance!$E$2:$E$101,"Not Found",0)</f>
        <v>55</v>
      </c>
      <c r="M62">
        <f t="shared" si="0"/>
        <v>55</v>
      </c>
      <c r="N62" s="33" t="str" cm="1">
        <f t="array" ref="N62">_xlfn.IFS(L62&gt;=80,"Low Risk",L62&gt;=50,"Medium Risk",TRUE,"High Risk")</f>
        <v>Medium Risk</v>
      </c>
      <c r="O62">
        <f>INDEX(Environmental!$A$2:$I$101,MATCH(Environmental!C62,Environmental!$C$2:$C$101,0),3)</f>
        <v>7123</v>
      </c>
    </row>
    <row r="63" spans="1:15" x14ac:dyDescent="0.35">
      <c r="A63" s="30">
        <v>62</v>
      </c>
      <c r="B63" s="30" t="s">
        <v>93</v>
      </c>
      <c r="C63" s="30" t="s">
        <v>38</v>
      </c>
      <c r="D63" s="30" t="s">
        <v>20</v>
      </c>
      <c r="E63" s="30">
        <v>19847</v>
      </c>
      <c r="F63" s="30">
        <v>4096</v>
      </c>
      <c r="G63" s="30">
        <v>48322.3</v>
      </c>
      <c r="H63" s="30" t="str">
        <v>Mid/Small Cap</v>
      </c>
      <c r="I63" s="32">
        <v>206378.79780319444</v>
      </c>
      <c r="J63" s="2"/>
      <c r="K63">
        <f>VLOOKUP(Governance!A63,Governance!A63:E162,5,FALSE)</f>
        <v>36</v>
      </c>
      <c r="L63">
        <f>_xlfn.XLOOKUP(Governance!A63,Governance!$A$2:$A$101,Governance!$E$2:$E$101,"Not Found",0)</f>
        <v>36</v>
      </c>
      <c r="M63">
        <f t="shared" si="0"/>
        <v>36</v>
      </c>
      <c r="N63" s="33" t="str" cm="1">
        <f t="array" ref="N63">_xlfn.IFS(L63&gt;=80,"Low Risk",L63&gt;=50,"Medium Risk",TRUE,"High Risk")</f>
        <v>High Risk</v>
      </c>
      <c r="O63">
        <f>INDEX(Environmental!$A$2:$I$101,MATCH(Environmental!C63,Environmental!$C$2:$C$101,0),3)</f>
        <v>7781</v>
      </c>
    </row>
    <row r="64" spans="1:15" x14ac:dyDescent="0.35">
      <c r="A64" s="30">
        <v>63</v>
      </c>
      <c r="B64" s="30" t="s">
        <v>94</v>
      </c>
      <c r="C64" s="30" t="s">
        <v>38</v>
      </c>
      <c r="D64" s="30" t="s">
        <v>25</v>
      </c>
      <c r="E64" s="30">
        <v>14672</v>
      </c>
      <c r="F64" s="30">
        <v>14629</v>
      </c>
      <c r="G64" s="30">
        <v>47369.2</v>
      </c>
      <c r="H64" s="30" t="str">
        <v>Mid/Small Cap</v>
      </c>
      <c r="I64" s="32">
        <v>997069.24754634674</v>
      </c>
      <c r="J64" s="2"/>
      <c r="K64">
        <f>VLOOKUP(Governance!A64,Governance!A64:E163,5,FALSE)</f>
        <v>36</v>
      </c>
      <c r="L64">
        <f>_xlfn.XLOOKUP(Governance!A64,Governance!$A$2:$A$101,Governance!$E$2:$E$101,"Not Found",0)</f>
        <v>36</v>
      </c>
      <c r="M64">
        <f t="shared" si="0"/>
        <v>36</v>
      </c>
      <c r="N64" s="33" t="str" cm="1">
        <f t="array" ref="N64">_xlfn.IFS(L64&gt;=80,"Low Risk",L64&gt;=50,"Medium Risk",TRUE,"High Risk")</f>
        <v>High Risk</v>
      </c>
      <c r="O64">
        <f>INDEX(Environmental!$A$2:$I$101,MATCH(Environmental!C64,Environmental!$C$2:$C$101,0),3)</f>
        <v>7033</v>
      </c>
    </row>
    <row r="65" spans="1:15" x14ac:dyDescent="0.35">
      <c r="A65" s="30">
        <v>64</v>
      </c>
      <c r="B65" s="30" t="s">
        <v>95</v>
      </c>
      <c r="C65" s="30" t="s">
        <v>38</v>
      </c>
      <c r="D65" s="30" t="s">
        <v>42</v>
      </c>
      <c r="E65" s="30">
        <v>13966</v>
      </c>
      <c r="F65" s="30">
        <v>17656</v>
      </c>
      <c r="G65" s="30">
        <v>43560.5</v>
      </c>
      <c r="H65" s="30" t="str">
        <v>Mid/Small Cap</v>
      </c>
      <c r="I65" s="32">
        <v>1264213.0889302592</v>
      </c>
      <c r="J65" s="2"/>
      <c r="K65">
        <f>VLOOKUP(Governance!A65,Governance!A65:E164,5,FALSE)</f>
        <v>45</v>
      </c>
      <c r="L65">
        <f>_xlfn.XLOOKUP(Governance!A65,Governance!$A$2:$A$101,Governance!$E$2:$E$101,"Not Found",0)</f>
        <v>45</v>
      </c>
      <c r="M65">
        <f t="shared" si="0"/>
        <v>45</v>
      </c>
      <c r="N65" s="33" t="str" cm="1">
        <f t="array" ref="N65">_xlfn.IFS(L65&gt;=80,"Low Risk",L65&gt;=50,"Medium Risk",TRUE,"High Risk")</f>
        <v>High Risk</v>
      </c>
      <c r="O65">
        <f>INDEX(Environmental!$A$2:$I$101,MATCH(Environmental!C65,Environmental!$C$2:$C$101,0),3)</f>
        <v>7505</v>
      </c>
    </row>
    <row r="66" spans="1:15" x14ac:dyDescent="0.35">
      <c r="A66" s="30">
        <v>65</v>
      </c>
      <c r="B66" s="30" t="s">
        <v>96</v>
      </c>
      <c r="C66" s="30" t="s">
        <v>16</v>
      </c>
      <c r="D66" s="30" t="s">
        <v>42</v>
      </c>
      <c r="E66" s="30">
        <v>19935</v>
      </c>
      <c r="F66" s="30">
        <v>6797</v>
      </c>
      <c r="G66" s="30">
        <v>40678.199999999997</v>
      </c>
      <c r="H66" s="30" t="str">
        <v>Mid/Small Cap</v>
      </c>
      <c r="I66" s="32">
        <v>340958.11387007777</v>
      </c>
      <c r="J66" s="2"/>
      <c r="K66">
        <f>VLOOKUP(Governance!A66,Governance!A66:E165,5,FALSE)</f>
        <v>81</v>
      </c>
      <c r="L66">
        <f>_xlfn.XLOOKUP(Governance!A66,Governance!$A$2:$A$101,Governance!$E$2:$E$101,"Not Found",0)</f>
        <v>81</v>
      </c>
      <c r="M66">
        <f t="shared" si="0"/>
        <v>81</v>
      </c>
      <c r="N66" s="33" t="str" cm="1">
        <f t="array" ref="N66">_xlfn.IFS(L66&gt;=80,"Low Risk",L66&gt;=50,"Medium Risk",TRUE,"High Risk")</f>
        <v>Low Risk</v>
      </c>
      <c r="O66">
        <f>INDEX(Environmental!$A$2:$I$101,MATCH(Environmental!C66,Environmental!$C$2:$C$101,0),3)</f>
        <v>3563</v>
      </c>
    </row>
    <row r="67" spans="1:15" x14ac:dyDescent="0.35">
      <c r="A67" s="30">
        <v>66</v>
      </c>
      <c r="B67" s="30" t="s">
        <v>97</v>
      </c>
      <c r="C67" s="30" t="s">
        <v>38</v>
      </c>
      <c r="D67" s="30" t="s">
        <v>30</v>
      </c>
      <c r="E67" s="30">
        <v>1430</v>
      </c>
      <c r="F67" s="30">
        <v>19696</v>
      </c>
      <c r="G67" s="30">
        <v>39113.599999999999</v>
      </c>
      <c r="H67" s="30" t="str">
        <v>Mid/Small Cap</v>
      </c>
      <c r="I67" s="32">
        <v>13773426.573426573</v>
      </c>
      <c r="J67" s="2"/>
      <c r="K67">
        <f>VLOOKUP(Governance!A67,Governance!A67:E166,5,FALSE)</f>
        <v>91</v>
      </c>
      <c r="L67">
        <f>_xlfn.XLOOKUP(Governance!A67,Governance!$A$2:$A$101,Governance!$E$2:$E$101,"Not Found",0)</f>
        <v>91</v>
      </c>
      <c r="M67">
        <f t="shared" ref="M67:M101" si="1">IFERROR(K67,"Not Found")</f>
        <v>91</v>
      </c>
      <c r="N67" s="33" t="str" cm="1">
        <f t="array" ref="N67">_xlfn.IFS(L67&gt;=80,"Low Risk",L67&gt;=50,"Medium Risk",TRUE,"High Risk")</f>
        <v>Low Risk</v>
      </c>
      <c r="O67">
        <f>INDEX(Environmental!$A$2:$I$101,MATCH(Environmental!C67,Environmental!$C$2:$C$101,0),3)</f>
        <v>6525</v>
      </c>
    </row>
    <row r="68" spans="1:15" x14ac:dyDescent="0.35">
      <c r="A68" s="30">
        <v>67</v>
      </c>
      <c r="B68" s="30" t="s">
        <v>98</v>
      </c>
      <c r="C68" s="30" t="s">
        <v>35</v>
      </c>
      <c r="D68" s="30" t="s">
        <v>28</v>
      </c>
      <c r="E68" s="30">
        <v>13373</v>
      </c>
      <c r="F68" s="30">
        <v>9287</v>
      </c>
      <c r="G68" s="30">
        <v>36628.1</v>
      </c>
      <c r="H68" s="30" t="str">
        <v>Mid/Small Cap</v>
      </c>
      <c r="I68" s="32">
        <v>694458.98452104989</v>
      </c>
      <c r="J68" s="2"/>
      <c r="K68">
        <f>VLOOKUP(Governance!A68,Governance!A68:E167,5,FALSE)</f>
        <v>65</v>
      </c>
      <c r="L68">
        <f>_xlfn.XLOOKUP(Governance!A68,Governance!$A$2:$A$101,Governance!$E$2:$E$101,"Not Found",0)</f>
        <v>65</v>
      </c>
      <c r="M68">
        <f t="shared" si="1"/>
        <v>65</v>
      </c>
      <c r="N68" s="33" t="str" cm="1">
        <f t="array" ref="N68">_xlfn.IFS(L68&gt;=80,"Low Risk",L68&gt;=50,"Medium Risk",TRUE,"High Risk")</f>
        <v>Medium Risk</v>
      </c>
      <c r="O68">
        <f>INDEX(Environmental!$A$2:$I$101,MATCH(Environmental!C68,Environmental!$C$2:$C$101,0),3)</f>
        <v>2853</v>
      </c>
    </row>
    <row r="69" spans="1:15" x14ac:dyDescent="0.35">
      <c r="A69" s="30">
        <v>68</v>
      </c>
      <c r="B69" s="30" t="s">
        <v>99</v>
      </c>
      <c r="C69" s="30" t="s">
        <v>14</v>
      </c>
      <c r="D69" s="30" t="s">
        <v>28</v>
      </c>
      <c r="E69" s="30">
        <v>7465</v>
      </c>
      <c r="F69" s="30">
        <v>3480</v>
      </c>
      <c r="G69" s="30">
        <v>36106</v>
      </c>
      <c r="H69" s="30" t="str">
        <v>Mid/Small Cap</v>
      </c>
      <c r="I69" s="32">
        <v>466175.48559946415</v>
      </c>
      <c r="J69" s="2"/>
      <c r="K69">
        <f>VLOOKUP(Governance!A69,Governance!A69:E168,5,FALSE)</f>
        <v>65</v>
      </c>
      <c r="L69">
        <f>_xlfn.XLOOKUP(Governance!A69,Governance!$A$2:$A$101,Governance!$E$2:$E$101,"Not Found",0)</f>
        <v>65</v>
      </c>
      <c r="M69">
        <f t="shared" si="1"/>
        <v>65</v>
      </c>
      <c r="N69" s="33" t="str" cm="1">
        <f t="array" ref="N69">_xlfn.IFS(L69&gt;=80,"Low Risk",L69&gt;=50,"Medium Risk",TRUE,"High Risk")</f>
        <v>Medium Risk</v>
      </c>
      <c r="O69">
        <f>INDEX(Environmental!$A$2:$I$101,MATCH(Environmental!C69,Environmental!$C$2:$C$101,0),3)</f>
        <v>4984</v>
      </c>
    </row>
    <row r="70" spans="1:15" x14ac:dyDescent="0.35">
      <c r="A70" s="30">
        <v>69</v>
      </c>
      <c r="B70" s="30" t="s">
        <v>100</v>
      </c>
      <c r="C70" s="30" t="s">
        <v>22</v>
      </c>
      <c r="D70" s="30" t="s">
        <v>15</v>
      </c>
      <c r="E70" s="30">
        <v>2344</v>
      </c>
      <c r="F70" s="30">
        <v>27243</v>
      </c>
      <c r="G70" s="30">
        <v>35671.699999999997</v>
      </c>
      <c r="H70" s="30" t="str">
        <v>Large Cap</v>
      </c>
      <c r="I70" s="32">
        <v>11622440.273037544</v>
      </c>
      <c r="J70" s="2"/>
      <c r="K70">
        <f>VLOOKUP(Governance!A70,Governance!A70:E169,5,FALSE)</f>
        <v>47</v>
      </c>
      <c r="L70">
        <f>_xlfn.XLOOKUP(Governance!A70,Governance!$A$2:$A$101,Governance!$E$2:$E$101,"Not Found",0)</f>
        <v>47</v>
      </c>
      <c r="M70">
        <f t="shared" si="1"/>
        <v>47</v>
      </c>
      <c r="N70" s="33" t="str" cm="1">
        <f t="array" ref="N70">_xlfn.IFS(L70&gt;=80,"Low Risk",L70&gt;=50,"Medium Risk",TRUE,"High Risk")</f>
        <v>High Risk</v>
      </c>
      <c r="O70">
        <f>INDEX(Environmental!$A$2:$I$101,MATCH(Environmental!C70,Environmental!$C$2:$C$101,0),3)</f>
        <v>1563</v>
      </c>
    </row>
    <row r="71" spans="1:15" x14ac:dyDescent="0.35">
      <c r="A71" s="30">
        <v>70</v>
      </c>
      <c r="B71" s="30" t="s">
        <v>101</v>
      </c>
      <c r="C71" s="30" t="s">
        <v>19</v>
      </c>
      <c r="D71" s="30" t="s">
        <v>15</v>
      </c>
      <c r="E71" s="30">
        <v>2150</v>
      </c>
      <c r="F71" s="30">
        <v>15607</v>
      </c>
      <c r="G71" s="30">
        <v>35412.6</v>
      </c>
      <c r="H71" s="30" t="str">
        <v>Mid/Small Cap</v>
      </c>
      <c r="I71" s="32">
        <v>7259069.7674418604</v>
      </c>
      <c r="J71" s="2"/>
      <c r="K71">
        <f>VLOOKUP(Governance!A71,Governance!A71:E170,5,FALSE)</f>
        <v>65</v>
      </c>
      <c r="L71">
        <f>_xlfn.XLOOKUP(Governance!A71,Governance!$A$2:$A$101,Governance!$E$2:$E$101,"Not Found",0)</f>
        <v>65</v>
      </c>
      <c r="M71">
        <f t="shared" si="1"/>
        <v>65</v>
      </c>
      <c r="N71" s="33" t="str" cm="1">
        <f t="array" ref="N71">_xlfn.IFS(L71&gt;=80,"Low Risk",L71&gt;=50,"Medium Risk",TRUE,"High Risk")</f>
        <v>Medium Risk</v>
      </c>
      <c r="O71">
        <f>INDEX(Environmental!$A$2:$I$101,MATCH(Environmental!C71,Environmental!$C$2:$C$101,0),3)</f>
        <v>3793</v>
      </c>
    </row>
    <row r="72" spans="1:15" x14ac:dyDescent="0.35">
      <c r="A72" s="30">
        <v>71</v>
      </c>
      <c r="B72" s="30" t="s">
        <v>102</v>
      </c>
      <c r="C72" s="30" t="s">
        <v>38</v>
      </c>
      <c r="D72" s="30" t="s">
        <v>15</v>
      </c>
      <c r="E72" s="30">
        <v>12185</v>
      </c>
      <c r="F72" s="30">
        <v>18248</v>
      </c>
      <c r="G72" s="30">
        <v>33885.199999999997</v>
      </c>
      <c r="H72" s="30" t="str">
        <v>Mid/Small Cap</v>
      </c>
      <c r="I72" s="32">
        <v>1497578.9905621666</v>
      </c>
      <c r="J72" s="2"/>
      <c r="K72">
        <f>VLOOKUP(Governance!A72,Governance!A72:E171,5,FALSE)</f>
        <v>63</v>
      </c>
      <c r="L72">
        <f>_xlfn.XLOOKUP(Governance!A72,Governance!$A$2:$A$101,Governance!$E$2:$E$101,"Not Found",0)</f>
        <v>63</v>
      </c>
      <c r="M72">
        <f t="shared" si="1"/>
        <v>63</v>
      </c>
      <c r="N72" s="33" t="str" cm="1">
        <f t="array" ref="N72">_xlfn.IFS(L72&gt;=80,"Low Risk",L72&gt;=50,"Medium Risk",TRUE,"High Risk")</f>
        <v>Medium Risk</v>
      </c>
      <c r="O72">
        <f>INDEX(Environmental!$A$2:$I$101,MATCH(Environmental!C72,Environmental!$C$2:$C$101,0),3)</f>
        <v>2935</v>
      </c>
    </row>
    <row r="73" spans="1:15" x14ac:dyDescent="0.35">
      <c r="A73" s="30">
        <v>72</v>
      </c>
      <c r="B73" s="30" t="s">
        <v>103</v>
      </c>
      <c r="C73" s="30" t="s">
        <v>22</v>
      </c>
      <c r="D73" s="30" t="s">
        <v>30</v>
      </c>
      <c r="E73" s="30">
        <v>14800</v>
      </c>
      <c r="F73" s="30">
        <v>12822</v>
      </c>
      <c r="G73" s="30">
        <v>33030.6</v>
      </c>
      <c r="H73" s="30" t="str">
        <v>Mid/Small Cap</v>
      </c>
      <c r="I73" s="32">
        <v>866351.35135135136</v>
      </c>
      <c r="J73" s="2"/>
      <c r="K73">
        <f>VLOOKUP(Governance!A73,Governance!A73:E172,5,FALSE)</f>
        <v>61</v>
      </c>
      <c r="L73">
        <f>_xlfn.XLOOKUP(Governance!A73,Governance!$A$2:$A$101,Governance!$E$2:$E$101,"Not Found",0)</f>
        <v>61</v>
      </c>
      <c r="M73">
        <f t="shared" si="1"/>
        <v>61</v>
      </c>
      <c r="N73" s="33" t="str" cm="1">
        <f t="array" ref="N73">_xlfn.IFS(L73&gt;=80,"Low Risk",L73&gt;=50,"Medium Risk",TRUE,"High Risk")</f>
        <v>Medium Risk</v>
      </c>
      <c r="O73">
        <f>INDEX(Environmental!$A$2:$I$101,MATCH(Environmental!C73,Environmental!$C$2:$C$101,0),3)</f>
        <v>6543</v>
      </c>
    </row>
    <row r="74" spans="1:15" x14ac:dyDescent="0.35">
      <c r="A74" s="30">
        <v>73</v>
      </c>
      <c r="B74" s="30" t="s">
        <v>104</v>
      </c>
      <c r="C74" s="30" t="s">
        <v>38</v>
      </c>
      <c r="D74" s="30" t="s">
        <v>30</v>
      </c>
      <c r="E74" s="30">
        <v>1484</v>
      </c>
      <c r="F74" s="30">
        <v>11324</v>
      </c>
      <c r="G74" s="30">
        <v>32625.200000000001</v>
      </c>
      <c r="H74" s="30" t="str">
        <v>Mid/Small Cap</v>
      </c>
      <c r="I74" s="32">
        <v>7630727.7628032342</v>
      </c>
      <c r="J74" s="2"/>
      <c r="K74">
        <f>VLOOKUP(Governance!A74,Governance!A74:E173,5,FALSE)</f>
        <v>38</v>
      </c>
      <c r="L74">
        <f>_xlfn.XLOOKUP(Governance!A74,Governance!$A$2:$A$101,Governance!$E$2:$E$101,"Not Found",0)</f>
        <v>38</v>
      </c>
      <c r="M74">
        <f t="shared" si="1"/>
        <v>38</v>
      </c>
      <c r="N74" s="33" t="str" cm="1">
        <f t="array" ref="N74">_xlfn.IFS(L74&gt;=80,"Low Risk",L74&gt;=50,"Medium Risk",TRUE,"High Risk")</f>
        <v>High Risk</v>
      </c>
      <c r="O74">
        <f>INDEX(Environmental!$A$2:$I$101,MATCH(Environmental!C74,Environmental!$C$2:$C$101,0),3)</f>
        <v>868</v>
      </c>
    </row>
    <row r="75" spans="1:15" x14ac:dyDescent="0.35">
      <c r="A75" s="30">
        <v>74</v>
      </c>
      <c r="B75" s="30" t="s">
        <v>105</v>
      </c>
      <c r="C75" s="30" t="s">
        <v>35</v>
      </c>
      <c r="D75" s="30" t="s">
        <v>42</v>
      </c>
      <c r="E75" s="30">
        <v>5428</v>
      </c>
      <c r="F75" s="30">
        <v>9971</v>
      </c>
      <c r="G75" s="30">
        <v>29508.7</v>
      </c>
      <c r="H75" s="30" t="str">
        <v>Mid/Small Cap</v>
      </c>
      <c r="I75" s="32">
        <v>1836956.5217391304</v>
      </c>
      <c r="J75" s="2"/>
      <c r="K75">
        <f>VLOOKUP(Governance!A75,Governance!A75:E174,5,FALSE)</f>
        <v>48</v>
      </c>
      <c r="L75">
        <f>_xlfn.XLOOKUP(Governance!A75,Governance!$A$2:$A$101,Governance!$E$2:$E$101,"Not Found",0)</f>
        <v>48</v>
      </c>
      <c r="M75">
        <f t="shared" si="1"/>
        <v>48</v>
      </c>
      <c r="N75" s="33" t="str" cm="1">
        <f t="array" ref="N75">_xlfn.IFS(L75&gt;=80,"Low Risk",L75&gt;=50,"Medium Risk",TRUE,"High Risk")</f>
        <v>High Risk</v>
      </c>
      <c r="O75">
        <f>INDEX(Environmental!$A$2:$I$101,MATCH(Environmental!C75,Environmental!$C$2:$C$101,0),3)</f>
        <v>6790</v>
      </c>
    </row>
    <row r="76" spans="1:15" x14ac:dyDescent="0.35">
      <c r="A76" s="30">
        <v>75</v>
      </c>
      <c r="B76" s="30" t="s">
        <v>106</v>
      </c>
      <c r="C76" s="30" t="s">
        <v>14</v>
      </c>
      <c r="D76" s="30" t="s">
        <v>30</v>
      </c>
      <c r="E76" s="30">
        <v>7528</v>
      </c>
      <c r="F76" s="30">
        <v>7637</v>
      </c>
      <c r="G76" s="30">
        <v>29475.1</v>
      </c>
      <c r="H76" s="30" t="str">
        <v>Mid/Small Cap</v>
      </c>
      <c r="I76" s="32">
        <v>1014479.2773645058</v>
      </c>
      <c r="J76" s="2"/>
      <c r="K76">
        <f>VLOOKUP(Governance!A76,Governance!A76:E175,5,FALSE)</f>
        <v>85</v>
      </c>
      <c r="L76">
        <f>_xlfn.XLOOKUP(Governance!A76,Governance!$A$2:$A$101,Governance!$E$2:$E$101,"Not Found",0)</f>
        <v>85</v>
      </c>
      <c r="M76">
        <f t="shared" si="1"/>
        <v>85</v>
      </c>
      <c r="N76" s="33" t="str" cm="1">
        <f t="array" ref="N76">_xlfn.IFS(L76&gt;=80,"Low Risk",L76&gt;=50,"Medium Risk",TRUE,"High Risk")</f>
        <v>Low Risk</v>
      </c>
      <c r="O76">
        <f>INDEX(Environmental!$A$2:$I$101,MATCH(Environmental!C76,Environmental!$C$2:$C$101,0),3)</f>
        <v>1934</v>
      </c>
    </row>
    <row r="77" spans="1:15" x14ac:dyDescent="0.35">
      <c r="A77" s="30">
        <v>76</v>
      </c>
      <c r="B77" s="30" t="s">
        <v>107</v>
      </c>
      <c r="C77" s="30" t="s">
        <v>22</v>
      </c>
      <c r="D77" s="30" t="s">
        <v>42</v>
      </c>
      <c r="E77" s="30">
        <v>14188</v>
      </c>
      <c r="F77" s="30">
        <v>13709</v>
      </c>
      <c r="G77" s="30">
        <v>27548.3</v>
      </c>
      <c r="H77" s="30" t="str">
        <v>Mid/Small Cap</v>
      </c>
      <c r="I77" s="32">
        <v>966239.07527488016</v>
      </c>
      <c r="J77" s="2"/>
      <c r="K77">
        <f>VLOOKUP(Governance!A77,Governance!A77:E176,5,FALSE)</f>
        <v>83</v>
      </c>
      <c r="L77">
        <f>_xlfn.XLOOKUP(Governance!A77,Governance!$A$2:$A$101,Governance!$E$2:$E$101,"Not Found",0)</f>
        <v>83</v>
      </c>
      <c r="M77">
        <f t="shared" si="1"/>
        <v>83</v>
      </c>
      <c r="N77" s="33" t="str" cm="1">
        <f t="array" ref="N77">_xlfn.IFS(L77&gt;=80,"Low Risk",L77&gt;=50,"Medium Risk",TRUE,"High Risk")</f>
        <v>Low Risk</v>
      </c>
      <c r="O77">
        <f>INDEX(Environmental!$A$2:$I$101,MATCH(Environmental!C77,Environmental!$C$2:$C$101,0),3)</f>
        <v>4444</v>
      </c>
    </row>
    <row r="78" spans="1:15" x14ac:dyDescent="0.35">
      <c r="A78" s="30">
        <v>77</v>
      </c>
      <c r="B78" s="30" t="s">
        <v>108</v>
      </c>
      <c r="C78" s="30" t="s">
        <v>35</v>
      </c>
      <c r="D78" s="30" t="s">
        <v>42</v>
      </c>
      <c r="E78" s="30">
        <v>13609</v>
      </c>
      <c r="F78" s="30">
        <v>712</v>
      </c>
      <c r="G78" s="30">
        <v>24722.2</v>
      </c>
      <c r="H78" s="30" t="str">
        <v>Mid/Small Cap</v>
      </c>
      <c r="I78" s="32">
        <v>52318.318759644353</v>
      </c>
      <c r="J78" s="2"/>
      <c r="K78">
        <f>VLOOKUP(Governance!A78,Governance!A78:E177,5,FALSE)</f>
        <v>78</v>
      </c>
      <c r="L78">
        <f>_xlfn.XLOOKUP(Governance!A78,Governance!$A$2:$A$101,Governance!$E$2:$E$101,"Not Found",0)</f>
        <v>78</v>
      </c>
      <c r="M78">
        <f t="shared" si="1"/>
        <v>78</v>
      </c>
      <c r="N78" s="33" t="str" cm="1">
        <f t="array" ref="N78">_xlfn.IFS(L78&gt;=80,"Low Risk",L78&gt;=50,"Medium Risk",TRUE,"High Risk")</f>
        <v>Medium Risk</v>
      </c>
      <c r="O78">
        <f>INDEX(Environmental!$A$2:$I$101,MATCH(Environmental!C78,Environmental!$C$2:$C$101,0),3)</f>
        <v>626</v>
      </c>
    </row>
    <row r="79" spans="1:15" x14ac:dyDescent="0.35">
      <c r="A79" s="30">
        <v>78</v>
      </c>
      <c r="B79" s="30" t="s">
        <v>109</v>
      </c>
      <c r="C79" s="30" t="s">
        <v>35</v>
      </c>
      <c r="D79" s="30" t="s">
        <v>25</v>
      </c>
      <c r="E79" s="30">
        <v>9298</v>
      </c>
      <c r="F79" s="30">
        <v>16524</v>
      </c>
      <c r="G79" s="30">
        <v>24256.3</v>
      </c>
      <c r="H79" s="30" t="str">
        <v>Mid/Small Cap</v>
      </c>
      <c r="I79" s="32">
        <v>1777156.3777156377</v>
      </c>
      <c r="J79" s="2"/>
      <c r="K79">
        <f>VLOOKUP(Governance!A79,Governance!A79:E178,5,FALSE)</f>
        <v>50</v>
      </c>
      <c r="L79">
        <f>_xlfn.XLOOKUP(Governance!A79,Governance!$A$2:$A$101,Governance!$E$2:$E$101,"Not Found",0)</f>
        <v>50</v>
      </c>
      <c r="M79">
        <f t="shared" si="1"/>
        <v>50</v>
      </c>
      <c r="N79" s="33" t="str" cm="1">
        <f t="array" ref="N79">_xlfn.IFS(L79&gt;=80,"Low Risk",L79&gt;=50,"Medium Risk",TRUE,"High Risk")</f>
        <v>Medium Risk</v>
      </c>
      <c r="O79">
        <f>INDEX(Environmental!$A$2:$I$101,MATCH(Environmental!C79,Environmental!$C$2:$C$101,0),3)</f>
        <v>4863</v>
      </c>
    </row>
    <row r="80" spans="1:15" x14ac:dyDescent="0.35">
      <c r="A80" s="30">
        <v>79</v>
      </c>
      <c r="B80" s="30" t="s">
        <v>110</v>
      </c>
      <c r="C80" s="30" t="s">
        <v>19</v>
      </c>
      <c r="D80" s="30" t="s">
        <v>30</v>
      </c>
      <c r="E80" s="30">
        <v>16834</v>
      </c>
      <c r="F80" s="30">
        <v>18736</v>
      </c>
      <c r="G80" s="30">
        <v>23549.5</v>
      </c>
      <c r="H80" s="30" t="str">
        <v>Mid/Small Cap</v>
      </c>
      <c r="I80" s="32">
        <v>1112985.6243317097</v>
      </c>
      <c r="J80" s="2"/>
      <c r="K80">
        <f>VLOOKUP(Governance!A80,Governance!A80:E179,5,FALSE)</f>
        <v>82</v>
      </c>
      <c r="L80">
        <f>_xlfn.XLOOKUP(Governance!A80,Governance!$A$2:$A$101,Governance!$E$2:$E$101,"Not Found",0)</f>
        <v>82</v>
      </c>
      <c r="M80">
        <f t="shared" si="1"/>
        <v>82</v>
      </c>
      <c r="N80" s="33" t="str" cm="1">
        <f t="array" ref="N80">_xlfn.IFS(L80&gt;=80,"Low Risk",L80&gt;=50,"Medium Risk",TRUE,"High Risk")</f>
        <v>Low Risk</v>
      </c>
      <c r="O80">
        <f>INDEX(Environmental!$A$2:$I$101,MATCH(Environmental!C80,Environmental!$C$2:$C$101,0),3)</f>
        <v>5980</v>
      </c>
    </row>
    <row r="81" spans="1:15" x14ac:dyDescent="0.35">
      <c r="A81" s="30">
        <v>80</v>
      </c>
      <c r="B81" s="30" t="s">
        <v>111</v>
      </c>
      <c r="C81" s="30" t="s">
        <v>35</v>
      </c>
      <c r="D81" s="30" t="s">
        <v>28</v>
      </c>
      <c r="E81" s="30">
        <v>19549</v>
      </c>
      <c r="F81" s="30">
        <v>6638</v>
      </c>
      <c r="G81" s="30">
        <v>23075.8</v>
      </c>
      <c r="H81" s="30" t="str">
        <v>Mid/Small Cap</v>
      </c>
      <c r="I81" s="32">
        <v>339557.0105887769</v>
      </c>
      <c r="J81" s="2"/>
      <c r="K81">
        <f>VLOOKUP(Governance!A81,Governance!A81:E180,5,FALSE)</f>
        <v>64</v>
      </c>
      <c r="L81">
        <f>_xlfn.XLOOKUP(Governance!A81,Governance!$A$2:$A$101,Governance!$E$2:$E$101,"Not Found",0)</f>
        <v>64</v>
      </c>
      <c r="M81">
        <f t="shared" si="1"/>
        <v>64</v>
      </c>
      <c r="N81" s="33" t="str" cm="1">
        <f t="array" ref="N81">_xlfn.IFS(L81&gt;=80,"Low Risk",L81&gt;=50,"Medium Risk",TRUE,"High Risk")</f>
        <v>Medium Risk</v>
      </c>
      <c r="O81">
        <f>INDEX(Environmental!$A$2:$I$101,MATCH(Environmental!C81,Environmental!$C$2:$C$101,0),3)</f>
        <v>1068</v>
      </c>
    </row>
    <row r="82" spans="1:15" x14ac:dyDescent="0.35">
      <c r="A82" s="30">
        <v>81</v>
      </c>
      <c r="B82" s="30" t="s">
        <v>112</v>
      </c>
      <c r="C82" s="30" t="s">
        <v>19</v>
      </c>
      <c r="D82" s="30" t="s">
        <v>28</v>
      </c>
      <c r="E82" s="30">
        <v>6426</v>
      </c>
      <c r="F82" s="30">
        <v>22175</v>
      </c>
      <c r="G82" s="30">
        <v>22593.9</v>
      </c>
      <c r="H82" s="30" t="str">
        <v>Large Cap</v>
      </c>
      <c r="I82" s="32">
        <v>3450824.7743541859</v>
      </c>
      <c r="J82" s="2"/>
      <c r="K82">
        <f>VLOOKUP(Governance!A82,Governance!A82:E181,5,FALSE)</f>
        <v>58</v>
      </c>
      <c r="L82">
        <f>_xlfn.XLOOKUP(Governance!A82,Governance!$A$2:$A$101,Governance!$E$2:$E$101,"Not Found",0)</f>
        <v>58</v>
      </c>
      <c r="M82">
        <f t="shared" si="1"/>
        <v>58</v>
      </c>
      <c r="N82" s="33" t="str" cm="1">
        <f t="array" ref="N82">_xlfn.IFS(L82&gt;=80,"Low Risk",L82&gt;=50,"Medium Risk",TRUE,"High Risk")</f>
        <v>Medium Risk</v>
      </c>
      <c r="O82">
        <f>INDEX(Environmental!$A$2:$I$101,MATCH(Environmental!C82,Environmental!$C$2:$C$101,0),3)</f>
        <v>1854</v>
      </c>
    </row>
    <row r="83" spans="1:15" x14ac:dyDescent="0.35">
      <c r="A83" s="30">
        <v>82</v>
      </c>
      <c r="B83" s="30" t="s">
        <v>113</v>
      </c>
      <c r="C83" s="30" t="s">
        <v>19</v>
      </c>
      <c r="D83" s="30" t="s">
        <v>25</v>
      </c>
      <c r="E83" s="30">
        <v>581</v>
      </c>
      <c r="F83" s="30">
        <v>26380</v>
      </c>
      <c r="G83" s="30">
        <v>21823.5</v>
      </c>
      <c r="H83" s="30" t="str">
        <v>Large Cap</v>
      </c>
      <c r="I83" s="32">
        <v>45404475.043029264</v>
      </c>
      <c r="J83" s="2"/>
      <c r="K83">
        <f>VLOOKUP(Governance!A83,Governance!A83:E182,5,FALSE)</f>
        <v>38</v>
      </c>
      <c r="L83">
        <f>_xlfn.XLOOKUP(Governance!A83,Governance!$A$2:$A$101,Governance!$E$2:$E$101,"Not Found",0)</f>
        <v>38</v>
      </c>
      <c r="M83">
        <f t="shared" si="1"/>
        <v>38</v>
      </c>
      <c r="N83" s="33" t="str" cm="1">
        <f t="array" ref="N83">_xlfn.IFS(L83&gt;=80,"Low Risk",L83&gt;=50,"Medium Risk",TRUE,"High Risk")</f>
        <v>High Risk</v>
      </c>
      <c r="O83">
        <f>INDEX(Environmental!$A$2:$I$101,MATCH(Environmental!C83,Environmental!$C$2:$C$101,0),3)</f>
        <v>3870</v>
      </c>
    </row>
    <row r="84" spans="1:15" x14ac:dyDescent="0.35">
      <c r="A84" s="30">
        <v>83</v>
      </c>
      <c r="B84" s="30" t="s">
        <v>114</v>
      </c>
      <c r="C84" s="30" t="s">
        <v>16</v>
      </c>
      <c r="D84" s="30" t="s">
        <v>42</v>
      </c>
      <c r="E84" s="30">
        <v>19707</v>
      </c>
      <c r="F84" s="30">
        <v>21615</v>
      </c>
      <c r="G84" s="30">
        <v>21086.799999999999</v>
      </c>
      <c r="H84" s="30" t="str">
        <v>Large Cap</v>
      </c>
      <c r="I84" s="32">
        <v>1096818.38940478</v>
      </c>
      <c r="J84" s="2"/>
      <c r="K84">
        <f>VLOOKUP(Governance!A84,Governance!A84:E183,5,FALSE)</f>
        <v>88</v>
      </c>
      <c r="L84">
        <f>_xlfn.XLOOKUP(Governance!A84,Governance!$A$2:$A$101,Governance!$E$2:$E$101,"Not Found",0)</f>
        <v>88</v>
      </c>
      <c r="M84">
        <f t="shared" si="1"/>
        <v>88</v>
      </c>
      <c r="N84" s="33" t="str" cm="1">
        <f t="array" ref="N84">_xlfn.IFS(L84&gt;=80,"Low Risk",L84&gt;=50,"Medium Risk",TRUE,"High Risk")</f>
        <v>Low Risk</v>
      </c>
      <c r="O84">
        <f>INDEX(Environmental!$A$2:$I$101,MATCH(Environmental!C84,Environmental!$C$2:$C$101,0),3)</f>
        <v>3984</v>
      </c>
    </row>
    <row r="85" spans="1:15" x14ac:dyDescent="0.35">
      <c r="A85" s="30">
        <v>84</v>
      </c>
      <c r="B85" s="30" t="s">
        <v>115</v>
      </c>
      <c r="C85" s="30" t="s">
        <v>16</v>
      </c>
      <c r="D85" s="30" t="s">
        <v>20</v>
      </c>
      <c r="E85" s="30">
        <v>12634</v>
      </c>
      <c r="F85" s="30">
        <v>23988</v>
      </c>
      <c r="G85" s="30">
        <v>17239.5</v>
      </c>
      <c r="H85" s="30" t="str">
        <v>Large Cap</v>
      </c>
      <c r="I85" s="32">
        <v>1898686.0851670096</v>
      </c>
      <c r="J85" s="2"/>
      <c r="K85">
        <f>VLOOKUP(Governance!A85,Governance!A85:E184,5,FALSE)</f>
        <v>88</v>
      </c>
      <c r="L85">
        <f>_xlfn.XLOOKUP(Governance!A85,Governance!$A$2:$A$101,Governance!$E$2:$E$101,"Not Found",0)</f>
        <v>88</v>
      </c>
      <c r="M85">
        <f t="shared" si="1"/>
        <v>88</v>
      </c>
      <c r="N85" s="33" t="str" cm="1">
        <f t="array" ref="N85">_xlfn.IFS(L85&gt;=80,"Low Risk",L85&gt;=50,"Medium Risk",TRUE,"High Risk")</f>
        <v>Low Risk</v>
      </c>
      <c r="O85">
        <f>INDEX(Environmental!$A$2:$I$101,MATCH(Environmental!C85,Environmental!$C$2:$C$101,0),3)</f>
        <v>550</v>
      </c>
    </row>
    <row r="86" spans="1:15" x14ac:dyDescent="0.35">
      <c r="A86" s="30">
        <v>85</v>
      </c>
      <c r="B86" s="30" t="s">
        <v>116</v>
      </c>
      <c r="C86" s="30" t="s">
        <v>16</v>
      </c>
      <c r="D86" s="30" t="s">
        <v>20</v>
      </c>
      <c r="E86" s="30">
        <v>17260</v>
      </c>
      <c r="F86" s="30">
        <v>26510</v>
      </c>
      <c r="G86" s="30">
        <v>16861.7</v>
      </c>
      <c r="H86" s="30" t="str">
        <v>Large Cap</v>
      </c>
      <c r="I86" s="32">
        <v>1535921.2050984937</v>
      </c>
      <c r="J86" s="2"/>
      <c r="K86">
        <f>VLOOKUP(Governance!A86,Governance!A86:E185,5,FALSE)</f>
        <v>51</v>
      </c>
      <c r="L86">
        <f>_xlfn.XLOOKUP(Governance!A86,Governance!$A$2:$A$101,Governance!$E$2:$E$101,"Not Found",0)</f>
        <v>51</v>
      </c>
      <c r="M86">
        <f t="shared" si="1"/>
        <v>51</v>
      </c>
      <c r="N86" s="33" t="str" cm="1">
        <f t="array" ref="N86">_xlfn.IFS(L86&gt;=80,"Low Risk",L86&gt;=50,"Medium Risk",TRUE,"High Risk")</f>
        <v>Medium Risk</v>
      </c>
      <c r="O86">
        <f>INDEX(Environmental!$A$2:$I$101,MATCH(Environmental!C86,Environmental!$C$2:$C$101,0),3)</f>
        <v>1323</v>
      </c>
    </row>
    <row r="87" spans="1:15" x14ac:dyDescent="0.35">
      <c r="A87" s="30">
        <v>86</v>
      </c>
      <c r="B87" s="30" t="s">
        <v>117</v>
      </c>
      <c r="C87" s="30" t="s">
        <v>16</v>
      </c>
      <c r="D87" s="30" t="s">
        <v>28</v>
      </c>
      <c r="E87" s="30">
        <v>11988</v>
      </c>
      <c r="F87" s="30">
        <v>21517</v>
      </c>
      <c r="G87" s="30">
        <v>16718.2</v>
      </c>
      <c r="H87" s="30" t="str">
        <v>Large Cap</v>
      </c>
      <c r="I87" s="32">
        <v>1794878.2115448783</v>
      </c>
      <c r="J87" s="2"/>
      <c r="K87">
        <f>VLOOKUP(Governance!A87,Governance!A87:E186,5,FALSE)</f>
        <v>72</v>
      </c>
      <c r="L87">
        <f>_xlfn.XLOOKUP(Governance!A87,Governance!$A$2:$A$101,Governance!$E$2:$E$101,"Not Found",0)</f>
        <v>72</v>
      </c>
      <c r="M87">
        <f t="shared" si="1"/>
        <v>72</v>
      </c>
      <c r="N87" s="33" t="str" cm="1">
        <f t="array" ref="N87">_xlfn.IFS(L87&gt;=80,"Low Risk",L87&gt;=50,"Medium Risk",TRUE,"High Risk")</f>
        <v>Medium Risk</v>
      </c>
      <c r="O87">
        <f>INDEX(Environmental!$A$2:$I$101,MATCH(Environmental!C87,Environmental!$C$2:$C$101,0),3)</f>
        <v>6967</v>
      </c>
    </row>
    <row r="88" spans="1:15" x14ac:dyDescent="0.35">
      <c r="A88" s="30">
        <v>87</v>
      </c>
      <c r="B88" s="30" t="s">
        <v>118</v>
      </c>
      <c r="C88" s="30" t="s">
        <v>16</v>
      </c>
      <c r="D88" s="30" t="s">
        <v>42</v>
      </c>
      <c r="E88" s="30">
        <v>19291</v>
      </c>
      <c r="F88" s="30">
        <v>24198</v>
      </c>
      <c r="G88" s="30">
        <v>14273.7</v>
      </c>
      <c r="H88" s="30" t="str">
        <v>Large Cap</v>
      </c>
      <c r="I88" s="32">
        <v>1254367.3215489087</v>
      </c>
      <c r="J88" s="2"/>
      <c r="K88">
        <f>VLOOKUP(Governance!A88,Governance!A88:E187,5,FALSE)</f>
        <v>67</v>
      </c>
      <c r="L88">
        <f>_xlfn.XLOOKUP(Governance!A88,Governance!$A$2:$A$101,Governance!$E$2:$E$101,"Not Found",0)</f>
        <v>67</v>
      </c>
      <c r="M88">
        <f t="shared" si="1"/>
        <v>67</v>
      </c>
      <c r="N88" s="33" t="str" cm="1">
        <f t="array" ref="N88">_xlfn.IFS(L88&gt;=80,"Low Risk",L88&gt;=50,"Medium Risk",TRUE,"High Risk")</f>
        <v>Medium Risk</v>
      </c>
      <c r="O88">
        <f>INDEX(Environmental!$A$2:$I$101,MATCH(Environmental!C88,Environmental!$C$2:$C$101,0),3)</f>
        <v>1555</v>
      </c>
    </row>
    <row r="89" spans="1:15" x14ac:dyDescent="0.35">
      <c r="A89" s="30">
        <v>88</v>
      </c>
      <c r="B89" s="30" t="s">
        <v>119</v>
      </c>
      <c r="C89" s="30" t="s">
        <v>22</v>
      </c>
      <c r="D89" s="30" t="s">
        <v>25</v>
      </c>
      <c r="E89" s="30">
        <v>6723</v>
      </c>
      <c r="F89" s="30">
        <v>25583</v>
      </c>
      <c r="G89" s="30">
        <v>13939.8</v>
      </c>
      <c r="H89" s="30" t="str">
        <v>Large Cap</v>
      </c>
      <c r="I89" s="32">
        <v>3805295.2550944518</v>
      </c>
      <c r="J89" s="2"/>
      <c r="K89">
        <f>VLOOKUP(Governance!A89,Governance!A89:E188,5,FALSE)</f>
        <v>85</v>
      </c>
      <c r="L89">
        <f>_xlfn.XLOOKUP(Governance!A89,Governance!$A$2:$A$101,Governance!$E$2:$E$101,"Not Found",0)</f>
        <v>85</v>
      </c>
      <c r="M89">
        <f t="shared" si="1"/>
        <v>85</v>
      </c>
      <c r="N89" s="33" t="str" cm="1">
        <f t="array" ref="N89">_xlfn.IFS(L89&gt;=80,"Low Risk",L89&gt;=50,"Medium Risk",TRUE,"High Risk")</f>
        <v>Low Risk</v>
      </c>
      <c r="O89">
        <f>INDEX(Environmental!$A$2:$I$101,MATCH(Environmental!C89,Environmental!$C$2:$C$101,0),3)</f>
        <v>6564</v>
      </c>
    </row>
    <row r="90" spans="1:15" x14ac:dyDescent="0.35">
      <c r="A90" s="30">
        <v>89</v>
      </c>
      <c r="B90" s="30" t="s">
        <v>120</v>
      </c>
      <c r="C90" s="30" t="s">
        <v>38</v>
      </c>
      <c r="D90" s="30" t="s">
        <v>15</v>
      </c>
      <c r="E90" s="30">
        <v>6379</v>
      </c>
      <c r="F90" s="30">
        <v>28473</v>
      </c>
      <c r="G90" s="30">
        <v>13862.9</v>
      </c>
      <c r="H90" s="30" t="str">
        <v>Large Cap</v>
      </c>
      <c r="I90" s="32">
        <v>4463552.2809217749</v>
      </c>
      <c r="J90" s="2"/>
      <c r="K90">
        <f>VLOOKUP(Governance!A90,Governance!A90:E189,5,FALSE)</f>
        <v>46</v>
      </c>
      <c r="L90">
        <f>_xlfn.XLOOKUP(Governance!A90,Governance!$A$2:$A$101,Governance!$E$2:$E$101,"Not Found",0)</f>
        <v>46</v>
      </c>
      <c r="M90">
        <f t="shared" si="1"/>
        <v>46</v>
      </c>
      <c r="N90" s="33" t="str" cm="1">
        <f t="array" ref="N90">_xlfn.IFS(L90&gt;=80,"Low Risk",L90&gt;=50,"Medium Risk",TRUE,"High Risk")</f>
        <v>High Risk</v>
      </c>
      <c r="O90">
        <f>INDEX(Environmental!$A$2:$I$101,MATCH(Environmental!C90,Environmental!$C$2:$C$101,0),3)</f>
        <v>6009</v>
      </c>
    </row>
    <row r="91" spans="1:15" x14ac:dyDescent="0.35">
      <c r="A91" s="30">
        <v>90</v>
      </c>
      <c r="B91" s="30" t="s">
        <v>121</v>
      </c>
      <c r="C91" s="30" t="s">
        <v>14</v>
      </c>
      <c r="D91" s="30" t="s">
        <v>28</v>
      </c>
      <c r="E91" s="30">
        <v>15645</v>
      </c>
      <c r="F91" s="30">
        <v>15242</v>
      </c>
      <c r="G91" s="30">
        <v>13104.3</v>
      </c>
      <c r="H91" s="30" t="str">
        <v>Mid/Small Cap</v>
      </c>
      <c r="I91" s="32">
        <v>974240.97155640775</v>
      </c>
      <c r="J91" s="2"/>
      <c r="K91">
        <f>VLOOKUP(Governance!A91,Governance!A91:E190,5,FALSE)</f>
        <v>59</v>
      </c>
      <c r="L91">
        <f>_xlfn.XLOOKUP(Governance!A91,Governance!$A$2:$A$101,Governance!$E$2:$E$101,"Not Found",0)</f>
        <v>59</v>
      </c>
      <c r="M91">
        <f t="shared" si="1"/>
        <v>59</v>
      </c>
      <c r="N91" s="33" t="str" cm="1">
        <f t="array" ref="N91">_xlfn.IFS(L91&gt;=80,"Low Risk",L91&gt;=50,"Medium Risk",TRUE,"High Risk")</f>
        <v>Medium Risk</v>
      </c>
      <c r="O91">
        <f>INDEX(Environmental!$A$2:$I$101,MATCH(Environmental!C91,Environmental!$C$2:$C$101,0),3)</f>
        <v>2652</v>
      </c>
    </row>
    <row r="92" spans="1:15" x14ac:dyDescent="0.35">
      <c r="A92" s="30">
        <v>91</v>
      </c>
      <c r="B92" s="30" t="s">
        <v>122</v>
      </c>
      <c r="C92" s="30" t="s">
        <v>14</v>
      </c>
      <c r="D92" s="30" t="s">
        <v>42</v>
      </c>
      <c r="E92" s="30">
        <v>3148</v>
      </c>
      <c r="F92" s="30">
        <v>23800</v>
      </c>
      <c r="G92" s="30">
        <v>11826.9</v>
      </c>
      <c r="H92" s="30" t="str">
        <v>Large Cap</v>
      </c>
      <c r="I92" s="32">
        <v>7560355.7814485384</v>
      </c>
      <c r="J92" s="2"/>
      <c r="K92">
        <f>VLOOKUP(Governance!A92,Governance!A92:E191,5,FALSE)</f>
        <v>64</v>
      </c>
      <c r="L92">
        <f>_xlfn.XLOOKUP(Governance!A92,Governance!$A$2:$A$101,Governance!$E$2:$E$101,"Not Found",0)</f>
        <v>64</v>
      </c>
      <c r="M92">
        <f t="shared" si="1"/>
        <v>64</v>
      </c>
      <c r="N92" s="33" t="str" cm="1">
        <f t="array" ref="N92">_xlfn.IFS(L92&gt;=80,"Low Risk",L92&gt;=50,"Medium Risk",TRUE,"High Risk")</f>
        <v>Medium Risk</v>
      </c>
      <c r="O92">
        <f>INDEX(Environmental!$A$2:$I$101,MATCH(Environmental!C92,Environmental!$C$2:$C$101,0),3)</f>
        <v>4304</v>
      </c>
    </row>
    <row r="93" spans="1:15" x14ac:dyDescent="0.35">
      <c r="A93" s="30">
        <v>92</v>
      </c>
      <c r="B93" s="30" t="s">
        <v>123</v>
      </c>
      <c r="C93" s="30" t="s">
        <v>22</v>
      </c>
      <c r="D93" s="30" t="s">
        <v>25</v>
      </c>
      <c r="E93" s="30">
        <v>11020</v>
      </c>
      <c r="F93" s="30">
        <v>15735</v>
      </c>
      <c r="G93" s="30">
        <v>9235.4</v>
      </c>
      <c r="H93" s="30" t="str">
        <v>Mid/Small Cap</v>
      </c>
      <c r="I93" s="32">
        <v>1427858.4392014518</v>
      </c>
      <c r="J93" s="2"/>
      <c r="K93">
        <f>VLOOKUP(Governance!A93,Governance!A93:E192,5,FALSE)</f>
        <v>73</v>
      </c>
      <c r="L93">
        <f>_xlfn.XLOOKUP(Governance!A93,Governance!$A$2:$A$101,Governance!$E$2:$E$101,"Not Found",0)</f>
        <v>73</v>
      </c>
      <c r="M93">
        <f t="shared" si="1"/>
        <v>73</v>
      </c>
      <c r="N93" s="33" t="str" cm="1">
        <f t="array" ref="N93">_xlfn.IFS(L93&gt;=80,"Low Risk",L93&gt;=50,"Medium Risk",TRUE,"High Risk")</f>
        <v>Medium Risk</v>
      </c>
      <c r="O93">
        <f>INDEX(Environmental!$A$2:$I$101,MATCH(Environmental!C93,Environmental!$C$2:$C$101,0),3)</f>
        <v>2483</v>
      </c>
    </row>
    <row r="94" spans="1:15" x14ac:dyDescent="0.35">
      <c r="A94" s="30">
        <v>93</v>
      </c>
      <c r="B94" s="30" t="s">
        <v>124</v>
      </c>
      <c r="C94" s="30" t="s">
        <v>38</v>
      </c>
      <c r="D94" s="30" t="s">
        <v>42</v>
      </c>
      <c r="E94" s="30">
        <v>15105</v>
      </c>
      <c r="F94" s="30">
        <v>5043</v>
      </c>
      <c r="G94" s="30">
        <v>8672</v>
      </c>
      <c r="H94" s="30" t="str">
        <v>Mid/Small Cap</v>
      </c>
      <c r="I94" s="32">
        <v>333862.95928500494</v>
      </c>
      <c r="J94" s="2"/>
      <c r="K94">
        <f>VLOOKUP(Governance!A94,Governance!A94:E193,5,FALSE)</f>
        <v>77</v>
      </c>
      <c r="L94">
        <f>_xlfn.XLOOKUP(Governance!A94,Governance!$A$2:$A$101,Governance!$E$2:$E$101,"Not Found",0)</f>
        <v>77</v>
      </c>
      <c r="M94">
        <f t="shared" si="1"/>
        <v>77</v>
      </c>
      <c r="N94" s="33" t="str" cm="1">
        <f t="array" ref="N94">_xlfn.IFS(L94&gt;=80,"Low Risk",L94&gt;=50,"Medium Risk",TRUE,"High Risk")</f>
        <v>Medium Risk</v>
      </c>
      <c r="O94">
        <f>INDEX(Environmental!$A$2:$I$101,MATCH(Environmental!C94,Environmental!$C$2:$C$101,0),3)</f>
        <v>5655</v>
      </c>
    </row>
    <row r="95" spans="1:15" x14ac:dyDescent="0.35">
      <c r="A95" s="30">
        <v>94</v>
      </c>
      <c r="B95" s="30" t="s">
        <v>125</v>
      </c>
      <c r="C95" s="30" t="s">
        <v>38</v>
      </c>
      <c r="D95" s="30" t="s">
        <v>28</v>
      </c>
      <c r="E95" s="30">
        <v>8536</v>
      </c>
      <c r="F95" s="30">
        <v>19269</v>
      </c>
      <c r="G95" s="30">
        <v>7307.1</v>
      </c>
      <c r="H95" s="30" t="str">
        <v>Mid/Small Cap</v>
      </c>
      <c r="I95" s="32">
        <v>2257380.5060918462</v>
      </c>
      <c r="J95" s="2"/>
      <c r="K95">
        <f>VLOOKUP(Governance!A95,Governance!A95:E194,5,FALSE)</f>
        <v>80</v>
      </c>
      <c r="L95">
        <f>_xlfn.XLOOKUP(Governance!A95,Governance!$A$2:$A$101,Governance!$E$2:$E$101,"Not Found",0)</f>
        <v>80</v>
      </c>
      <c r="M95">
        <f t="shared" si="1"/>
        <v>80</v>
      </c>
      <c r="N95" s="33" t="str" cm="1">
        <f t="array" ref="N95">_xlfn.IFS(L95&gt;=80,"Low Risk",L95&gt;=50,"Medium Risk",TRUE,"High Risk")</f>
        <v>Low Risk</v>
      </c>
      <c r="O95">
        <f>INDEX(Environmental!$A$2:$I$101,MATCH(Environmental!C95,Environmental!$C$2:$C$101,0),3)</f>
        <v>1070</v>
      </c>
    </row>
    <row r="96" spans="1:15" x14ac:dyDescent="0.35">
      <c r="A96" s="30">
        <v>95</v>
      </c>
      <c r="B96" s="30" t="s">
        <v>126</v>
      </c>
      <c r="C96" s="30" t="s">
        <v>22</v>
      </c>
      <c r="D96" s="30" t="s">
        <v>28</v>
      </c>
      <c r="E96" s="30">
        <v>9158</v>
      </c>
      <c r="F96" s="30">
        <v>5759</v>
      </c>
      <c r="G96" s="30">
        <v>6268.8</v>
      </c>
      <c r="H96" s="30" t="str">
        <v>Mid/Small Cap</v>
      </c>
      <c r="I96" s="32">
        <v>628849.09368857834</v>
      </c>
      <c r="J96" s="2"/>
      <c r="K96">
        <f>VLOOKUP(Governance!A96,Governance!A96:E195,5,FALSE)</f>
        <v>70</v>
      </c>
      <c r="L96">
        <f>_xlfn.XLOOKUP(Governance!A96,Governance!$A$2:$A$101,Governance!$E$2:$E$101,"Not Found",0)</f>
        <v>70</v>
      </c>
      <c r="M96">
        <f t="shared" si="1"/>
        <v>70</v>
      </c>
      <c r="N96" s="33" t="str" cm="1">
        <f t="array" ref="N96">_xlfn.IFS(L96&gt;=80,"Low Risk",L96&gt;=50,"Medium Risk",TRUE,"High Risk")</f>
        <v>Medium Risk</v>
      </c>
      <c r="O96">
        <f>INDEX(Environmental!$A$2:$I$101,MATCH(Environmental!C96,Environmental!$C$2:$C$101,0),3)</f>
        <v>1745</v>
      </c>
    </row>
    <row r="97" spans="1:15" x14ac:dyDescent="0.35">
      <c r="A97" s="30">
        <v>96</v>
      </c>
      <c r="B97" s="30" t="s">
        <v>127</v>
      </c>
      <c r="C97" s="30" t="s">
        <v>19</v>
      </c>
      <c r="D97" s="30" t="s">
        <v>15</v>
      </c>
      <c r="E97" s="30">
        <v>10358</v>
      </c>
      <c r="F97" s="30">
        <v>8112</v>
      </c>
      <c r="G97" s="30">
        <v>3363.6</v>
      </c>
      <c r="H97" s="30" t="str">
        <v>Mid/Small Cap</v>
      </c>
      <c r="I97" s="32">
        <v>783162.77273604937</v>
      </c>
      <c r="J97" s="2"/>
      <c r="K97">
        <f>VLOOKUP(Governance!A97,Governance!A97:E196,5,FALSE)</f>
        <v>92</v>
      </c>
      <c r="L97">
        <f>_xlfn.XLOOKUP(Governance!A97,Governance!$A$2:$A$101,Governance!$E$2:$E$101,"Not Found",0)</f>
        <v>92</v>
      </c>
      <c r="M97">
        <f t="shared" si="1"/>
        <v>92</v>
      </c>
      <c r="N97" s="33" t="str" cm="1">
        <f t="array" ref="N97">_xlfn.IFS(L97&gt;=80,"Low Risk",L97&gt;=50,"Medium Risk",TRUE,"High Risk")</f>
        <v>Low Risk</v>
      </c>
      <c r="O97">
        <f>INDEX(Environmental!$A$2:$I$101,MATCH(Environmental!C97,Environmental!$C$2:$C$101,0),3)</f>
        <v>841</v>
      </c>
    </row>
    <row r="98" spans="1:15" x14ac:dyDescent="0.35">
      <c r="A98" s="30">
        <v>97</v>
      </c>
      <c r="B98" s="30" t="s">
        <v>128</v>
      </c>
      <c r="C98" s="30" t="s">
        <v>19</v>
      </c>
      <c r="D98" s="30" t="s">
        <v>20</v>
      </c>
      <c r="E98" s="30">
        <v>12101</v>
      </c>
      <c r="F98" s="30">
        <v>17253</v>
      </c>
      <c r="G98" s="30">
        <v>3106.5</v>
      </c>
      <c r="H98" s="30" t="str">
        <v>Mid/Small Cap</v>
      </c>
      <c r="I98" s="32">
        <v>1425749.938021651</v>
      </c>
      <c r="J98" s="2"/>
      <c r="K98">
        <f>VLOOKUP(Governance!A98,Governance!A98:E197,5,FALSE)</f>
        <v>46</v>
      </c>
      <c r="L98">
        <f>_xlfn.XLOOKUP(Governance!A98,Governance!$A$2:$A$101,Governance!$E$2:$E$101,"Not Found",0)</f>
        <v>46</v>
      </c>
      <c r="M98">
        <f t="shared" si="1"/>
        <v>46</v>
      </c>
      <c r="N98" s="33" t="str" cm="1">
        <f t="array" ref="N98">_xlfn.IFS(L98&gt;=80,"Low Risk",L98&gt;=50,"Medium Risk",TRUE,"High Risk")</f>
        <v>High Risk</v>
      </c>
      <c r="O98">
        <f>INDEX(Environmental!$A$2:$I$101,MATCH(Environmental!C98,Environmental!$C$2:$C$101,0),3)</f>
        <v>145</v>
      </c>
    </row>
    <row r="99" spans="1:15" x14ac:dyDescent="0.35">
      <c r="A99" s="30">
        <v>98</v>
      </c>
      <c r="B99" s="30" t="s">
        <v>129</v>
      </c>
      <c r="C99" s="30" t="s">
        <v>35</v>
      </c>
      <c r="D99" s="30" t="s">
        <v>42</v>
      </c>
      <c r="E99" s="30">
        <v>13569</v>
      </c>
      <c r="F99" s="30">
        <v>17356</v>
      </c>
      <c r="G99" s="30">
        <v>1779.5</v>
      </c>
      <c r="H99" s="30" t="str">
        <v>Mid/Small Cap</v>
      </c>
      <c r="I99" s="32">
        <v>1279092.0480507037</v>
      </c>
      <c r="J99" s="2"/>
      <c r="K99">
        <f>VLOOKUP(Governance!A99,Governance!A99:E198,5,FALSE)</f>
        <v>65</v>
      </c>
      <c r="L99">
        <f>_xlfn.XLOOKUP(Governance!A99,Governance!$A$2:$A$101,Governance!$E$2:$E$101,"Not Found",0)</f>
        <v>65</v>
      </c>
      <c r="M99">
        <f t="shared" si="1"/>
        <v>65</v>
      </c>
      <c r="N99" s="33" t="str" cm="1">
        <f t="array" ref="N99">_xlfn.IFS(L99&gt;=80,"Low Risk",L99&gt;=50,"Medium Risk",TRUE,"High Risk")</f>
        <v>Medium Risk</v>
      </c>
      <c r="O99">
        <f>INDEX(Environmental!$A$2:$I$101,MATCH(Environmental!C99,Environmental!$C$2:$C$101,0),3)</f>
        <v>3489</v>
      </c>
    </row>
    <row r="100" spans="1:15" x14ac:dyDescent="0.35">
      <c r="A100" s="30">
        <v>99</v>
      </c>
      <c r="B100" s="30" t="s">
        <v>130</v>
      </c>
      <c r="C100" s="30" t="s">
        <v>16</v>
      </c>
      <c r="D100" s="30" t="s">
        <v>20</v>
      </c>
      <c r="E100" s="30">
        <v>8553</v>
      </c>
      <c r="F100" s="30">
        <v>28910</v>
      </c>
      <c r="G100" s="30">
        <v>1314.7</v>
      </c>
      <c r="H100" s="30" t="str">
        <v>Large Cap</v>
      </c>
      <c r="I100" s="32">
        <v>3380100.5495147901</v>
      </c>
      <c r="J100" s="2"/>
      <c r="K100">
        <f>VLOOKUP(Governance!A100,Governance!A100:E199,5,FALSE)</f>
        <v>51</v>
      </c>
      <c r="L100">
        <f>_xlfn.XLOOKUP(Governance!A100,Governance!$A$2:$A$101,Governance!$E$2:$E$101,"Not Found",0)</f>
        <v>51</v>
      </c>
      <c r="M100">
        <f t="shared" si="1"/>
        <v>51</v>
      </c>
      <c r="N100" s="33" t="str" cm="1">
        <f t="array" ref="N100">_xlfn.IFS(L100&gt;=80,"Low Risk",L100&gt;=50,"Medium Risk",TRUE,"High Risk")</f>
        <v>Medium Risk</v>
      </c>
      <c r="O100">
        <f>INDEX(Environmental!$A$2:$I$101,MATCH(Environmental!C100,Environmental!$C$2:$C$101,0),3)</f>
        <v>3671</v>
      </c>
    </row>
    <row r="101" spans="1:15" x14ac:dyDescent="0.35">
      <c r="A101" s="30">
        <v>100</v>
      </c>
      <c r="B101" s="30" t="s">
        <v>131</v>
      </c>
      <c r="C101" s="30" t="s">
        <v>16</v>
      </c>
      <c r="D101" s="30" t="s">
        <v>20</v>
      </c>
      <c r="E101" s="30">
        <v>7648</v>
      </c>
      <c r="F101" s="30">
        <v>6148</v>
      </c>
      <c r="G101" s="30">
        <v>1249.2</v>
      </c>
      <c r="H101" s="30" t="str">
        <v>Mid/Small Cap</v>
      </c>
      <c r="I101" s="32">
        <v>803870.29288702924</v>
      </c>
      <c r="J101" s="2"/>
      <c r="K101">
        <f>VLOOKUP(Governance!A101,Governance!A101:E200,5,FALSE)</f>
        <v>84</v>
      </c>
      <c r="L101">
        <f>_xlfn.XLOOKUP(Governance!A101,Governance!$A$2:$A$101,Governance!$E$2:$E$101,"Not Found",0)</f>
        <v>84</v>
      </c>
      <c r="M101">
        <f t="shared" si="1"/>
        <v>84</v>
      </c>
      <c r="N101" s="33" t="str" cm="1">
        <f t="array" ref="N101">_xlfn.IFS(L101&gt;=80,"Low Risk",L101&gt;=50,"Medium Risk",TRUE,"High Risk")</f>
        <v>Low Risk</v>
      </c>
      <c r="O101">
        <f>INDEX(Environmental!$A$2:$I$101,MATCH(Environmental!C101,Environmental!$C$2:$C$101,0),3)</f>
        <v>7855</v>
      </c>
    </row>
    <row r="102" spans="1:15" x14ac:dyDescent="0.35">
      <c r="F102" s="1"/>
    </row>
  </sheetData>
  <dataValidations count="2">
    <dataValidation allowBlank="1" showInputMessage="1" showErrorMessage="1" sqref="C1:C1048576 Q3:R102" xr:uid="{6C229AB7-0AFD-47AF-825B-03ADE97DDB52}"/>
    <dataValidation type="list" allowBlank="1" showInputMessage="1" showErrorMessage="1" sqref="Q2:R2" xr:uid="{4C28D898-F5D1-419F-A228-A20E99BE5D58}">
      <formula1>$C$2:$C$101</formula1>
    </dataValidation>
  </dataValidations>
  <pageMargins left="0.75" right="0.75" top="1" bottom="1" header="0.5" footer="0.5"/>
  <ignoredErrors>
    <ignoredError sqref="K2:O2 K3:K101 M3:N101" calculatedColumn="1"/>
  </ignoredErrors>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101"/>
  <sheetViews>
    <sheetView workbookViewId="0">
      <selection activeCell="J7" sqref="J7"/>
    </sheetView>
  </sheetViews>
  <sheetFormatPr defaultRowHeight="14.5" x14ac:dyDescent="0.35"/>
  <cols>
    <col min="1" max="1" width="11" bestFit="1" customWidth="1"/>
    <col min="2" max="2" width="4.81640625" bestFit="1" customWidth="1"/>
    <col min="3" max="5" width="7.1796875" bestFit="1" customWidth="1"/>
    <col min="6" max="6" width="12.81640625" bestFit="1" customWidth="1"/>
    <col min="7" max="7" width="18.1796875" bestFit="1" customWidth="1"/>
    <col min="8" max="8" width="10.453125" bestFit="1" customWidth="1"/>
    <col min="9" max="9" width="11.453125" bestFit="1" customWidth="1"/>
  </cols>
  <sheetData>
    <row r="1" spans="1:9" x14ac:dyDescent="0.35">
      <c r="A1" s="29" t="s">
        <v>0</v>
      </c>
      <c r="B1" s="29" t="s">
        <v>12</v>
      </c>
      <c r="C1" s="29" t="s">
        <v>132</v>
      </c>
      <c r="D1" s="29" t="s">
        <v>133</v>
      </c>
      <c r="E1" s="29" t="s">
        <v>134</v>
      </c>
      <c r="F1" s="29" t="s">
        <v>135</v>
      </c>
      <c r="G1" s="29" t="s">
        <v>136</v>
      </c>
      <c r="H1" s="29" t="s">
        <v>137</v>
      </c>
      <c r="I1" s="29" t="s">
        <v>138</v>
      </c>
    </row>
    <row r="2" spans="1:9" x14ac:dyDescent="0.35">
      <c r="A2" s="30">
        <v>1</v>
      </c>
      <c r="B2" s="30">
        <v>2025</v>
      </c>
      <c r="C2" s="30">
        <v>1508</v>
      </c>
      <c r="D2" s="30">
        <v>1433</v>
      </c>
      <c r="E2" s="30">
        <v>31607</v>
      </c>
      <c r="F2" s="30">
        <v>62046</v>
      </c>
      <c r="G2" s="30">
        <v>97</v>
      </c>
      <c r="H2" s="30">
        <v>135475</v>
      </c>
      <c r="I2" s="30">
        <v>9760</v>
      </c>
    </row>
    <row r="3" spans="1:9" x14ac:dyDescent="0.35">
      <c r="A3" s="30">
        <v>2</v>
      </c>
      <c r="B3" s="30">
        <v>2025</v>
      </c>
      <c r="C3" s="30">
        <v>4881</v>
      </c>
      <c r="D3" s="30">
        <v>4203</v>
      </c>
      <c r="E3" s="30">
        <v>26832</v>
      </c>
      <c r="F3" s="30">
        <v>19718</v>
      </c>
      <c r="G3" s="30">
        <v>74</v>
      </c>
      <c r="H3" s="30">
        <v>295246</v>
      </c>
      <c r="I3" s="30">
        <v>1940</v>
      </c>
    </row>
    <row r="4" spans="1:9" x14ac:dyDescent="0.35">
      <c r="A4" s="30">
        <v>3</v>
      </c>
      <c r="B4" s="30">
        <v>2025</v>
      </c>
      <c r="C4" s="30">
        <v>6247</v>
      </c>
      <c r="D4" s="30">
        <v>1921</v>
      </c>
      <c r="E4" s="30">
        <v>41161</v>
      </c>
      <c r="F4" s="30">
        <v>45645</v>
      </c>
      <c r="G4" s="30">
        <v>16</v>
      </c>
      <c r="H4" s="30">
        <v>10727</v>
      </c>
      <c r="I4" s="30">
        <v>10649</v>
      </c>
    </row>
    <row r="5" spans="1:9" x14ac:dyDescent="0.35">
      <c r="A5" s="30">
        <v>4</v>
      </c>
      <c r="B5" s="30">
        <v>2025</v>
      </c>
      <c r="C5" s="30">
        <v>732</v>
      </c>
      <c r="D5" s="30">
        <v>3391</v>
      </c>
      <c r="E5" s="30">
        <v>25133</v>
      </c>
      <c r="F5" s="30">
        <v>39458</v>
      </c>
      <c r="G5" s="30">
        <v>81</v>
      </c>
      <c r="H5" s="30">
        <v>94944</v>
      </c>
      <c r="I5" s="30">
        <v>3629</v>
      </c>
    </row>
    <row r="6" spans="1:9" x14ac:dyDescent="0.35">
      <c r="A6" s="30">
        <v>5</v>
      </c>
      <c r="B6" s="30">
        <v>2025</v>
      </c>
      <c r="C6" s="30">
        <v>2683</v>
      </c>
      <c r="D6" s="30">
        <v>1906</v>
      </c>
      <c r="E6" s="30">
        <v>47599</v>
      </c>
      <c r="F6" s="30">
        <v>46972</v>
      </c>
      <c r="G6" s="30">
        <v>95</v>
      </c>
      <c r="H6" s="30">
        <v>168782</v>
      </c>
      <c r="I6" s="30">
        <v>3815</v>
      </c>
    </row>
    <row r="7" spans="1:9" x14ac:dyDescent="0.35">
      <c r="A7" s="30">
        <v>6</v>
      </c>
      <c r="B7" s="30">
        <v>2025</v>
      </c>
      <c r="C7" s="30">
        <v>921</v>
      </c>
      <c r="D7" s="30">
        <v>4563</v>
      </c>
      <c r="E7" s="30">
        <v>21598</v>
      </c>
      <c r="F7" s="30">
        <v>35570</v>
      </c>
      <c r="G7" s="30">
        <v>89</v>
      </c>
      <c r="H7" s="30">
        <v>175352</v>
      </c>
      <c r="I7" s="30">
        <v>13182</v>
      </c>
    </row>
    <row r="8" spans="1:9" x14ac:dyDescent="0.35">
      <c r="A8" s="30">
        <v>7</v>
      </c>
      <c r="B8" s="30">
        <v>2025</v>
      </c>
      <c r="C8" s="30">
        <v>3119</v>
      </c>
      <c r="D8" s="30">
        <v>3046</v>
      </c>
      <c r="E8" s="30">
        <v>48173</v>
      </c>
      <c r="F8" s="30">
        <v>2363</v>
      </c>
      <c r="G8" s="30">
        <v>47</v>
      </c>
      <c r="H8" s="30">
        <v>97170</v>
      </c>
      <c r="I8" s="30">
        <v>13056</v>
      </c>
    </row>
    <row r="9" spans="1:9" x14ac:dyDescent="0.35">
      <c r="A9" s="30">
        <v>8</v>
      </c>
      <c r="B9" s="30">
        <v>2025</v>
      </c>
      <c r="C9" s="30">
        <v>5000</v>
      </c>
      <c r="D9" s="30">
        <v>4539</v>
      </c>
      <c r="E9" s="30">
        <v>41339</v>
      </c>
      <c r="F9" s="30">
        <v>33291</v>
      </c>
      <c r="G9" s="30">
        <v>75</v>
      </c>
      <c r="H9" s="30">
        <v>59158</v>
      </c>
      <c r="I9" s="30">
        <v>4655</v>
      </c>
    </row>
    <row r="10" spans="1:9" x14ac:dyDescent="0.35">
      <c r="A10" s="30">
        <v>9</v>
      </c>
      <c r="B10" s="30">
        <v>2025</v>
      </c>
      <c r="C10" s="30">
        <v>3153</v>
      </c>
      <c r="D10" s="30">
        <v>3527</v>
      </c>
      <c r="E10" s="30">
        <v>19370</v>
      </c>
      <c r="F10" s="30">
        <v>8223</v>
      </c>
      <c r="G10" s="30">
        <v>44</v>
      </c>
      <c r="H10" s="30">
        <v>94916</v>
      </c>
      <c r="I10" s="30">
        <v>9306</v>
      </c>
    </row>
    <row r="11" spans="1:9" x14ac:dyDescent="0.35">
      <c r="A11" s="30">
        <v>10</v>
      </c>
      <c r="B11" s="30">
        <v>2025</v>
      </c>
      <c r="C11" s="30">
        <v>3992</v>
      </c>
      <c r="D11" s="30">
        <v>3500</v>
      </c>
      <c r="E11" s="30">
        <v>48649</v>
      </c>
      <c r="F11" s="30">
        <v>11191</v>
      </c>
      <c r="G11" s="30">
        <v>37</v>
      </c>
      <c r="H11" s="30">
        <v>94522</v>
      </c>
      <c r="I11" s="30">
        <v>10383</v>
      </c>
    </row>
    <row r="12" spans="1:9" x14ac:dyDescent="0.35">
      <c r="A12" s="30">
        <v>11</v>
      </c>
      <c r="B12" s="30">
        <v>2025</v>
      </c>
      <c r="C12" s="30">
        <v>1631</v>
      </c>
      <c r="D12" s="30">
        <v>4680</v>
      </c>
      <c r="E12" s="30">
        <v>21694</v>
      </c>
      <c r="F12" s="30">
        <v>24540</v>
      </c>
      <c r="G12" s="30">
        <v>84</v>
      </c>
      <c r="H12" s="30">
        <v>194234</v>
      </c>
      <c r="I12" s="30">
        <v>5199</v>
      </c>
    </row>
    <row r="13" spans="1:9" x14ac:dyDescent="0.35">
      <c r="A13" s="30">
        <v>12</v>
      </c>
      <c r="B13" s="30">
        <v>2025</v>
      </c>
      <c r="C13" s="30">
        <v>5881</v>
      </c>
      <c r="D13" s="30">
        <v>1706</v>
      </c>
      <c r="E13" s="30">
        <v>31137</v>
      </c>
      <c r="F13" s="30">
        <v>12137</v>
      </c>
      <c r="G13" s="30">
        <v>84</v>
      </c>
      <c r="H13" s="30">
        <v>91559</v>
      </c>
      <c r="I13" s="30">
        <v>14696</v>
      </c>
    </row>
    <row r="14" spans="1:9" x14ac:dyDescent="0.35">
      <c r="A14" s="30">
        <v>13</v>
      </c>
      <c r="B14" s="30">
        <v>2025</v>
      </c>
      <c r="C14" s="30">
        <v>5514</v>
      </c>
      <c r="D14" s="30">
        <v>4702</v>
      </c>
      <c r="E14" s="30">
        <v>23550</v>
      </c>
      <c r="F14" s="30">
        <v>36606</v>
      </c>
      <c r="G14" s="30">
        <v>64</v>
      </c>
      <c r="H14" s="30">
        <v>51359</v>
      </c>
      <c r="I14" s="30">
        <v>13089</v>
      </c>
    </row>
    <row r="15" spans="1:9" x14ac:dyDescent="0.35">
      <c r="A15" s="30">
        <v>14</v>
      </c>
      <c r="B15" s="30">
        <v>2025</v>
      </c>
      <c r="C15" s="30">
        <v>3907</v>
      </c>
      <c r="D15" s="30">
        <v>1338</v>
      </c>
      <c r="E15" s="30">
        <v>46392</v>
      </c>
      <c r="F15" s="30">
        <v>69853</v>
      </c>
      <c r="G15" s="30">
        <v>49</v>
      </c>
      <c r="H15" s="30">
        <v>107478</v>
      </c>
      <c r="I15" s="30">
        <v>6608</v>
      </c>
    </row>
    <row r="16" spans="1:9" x14ac:dyDescent="0.35">
      <c r="A16" s="30">
        <v>15</v>
      </c>
      <c r="B16" s="30">
        <v>2025</v>
      </c>
      <c r="C16" s="30">
        <v>4325</v>
      </c>
      <c r="D16" s="30">
        <v>3612</v>
      </c>
      <c r="E16" s="30">
        <v>33729</v>
      </c>
      <c r="F16" s="30">
        <v>39481</v>
      </c>
      <c r="G16" s="30">
        <v>75</v>
      </c>
      <c r="H16" s="30">
        <v>271411</v>
      </c>
      <c r="I16" s="30">
        <v>6557</v>
      </c>
    </row>
    <row r="17" spans="1:9" x14ac:dyDescent="0.35">
      <c r="A17" s="30">
        <v>16</v>
      </c>
      <c r="B17" s="30">
        <v>2025</v>
      </c>
      <c r="C17" s="30">
        <v>3245</v>
      </c>
      <c r="D17" s="30">
        <v>4147</v>
      </c>
      <c r="E17" s="30">
        <v>47125</v>
      </c>
      <c r="F17" s="30">
        <v>70211</v>
      </c>
      <c r="G17" s="30">
        <v>94</v>
      </c>
      <c r="H17" s="30">
        <v>37826</v>
      </c>
      <c r="I17" s="30">
        <v>514</v>
      </c>
    </row>
    <row r="18" spans="1:9" x14ac:dyDescent="0.35">
      <c r="A18" s="30">
        <v>17</v>
      </c>
      <c r="B18" s="30">
        <v>2025</v>
      </c>
      <c r="C18" s="30">
        <v>7850</v>
      </c>
      <c r="D18" s="30">
        <v>4298</v>
      </c>
      <c r="E18" s="30">
        <v>39412</v>
      </c>
      <c r="F18" s="30">
        <v>33001</v>
      </c>
      <c r="G18" s="30">
        <v>19</v>
      </c>
      <c r="H18" s="30">
        <v>281928</v>
      </c>
      <c r="I18" s="30">
        <v>651</v>
      </c>
    </row>
    <row r="19" spans="1:9" x14ac:dyDescent="0.35">
      <c r="A19" s="30">
        <v>18</v>
      </c>
      <c r="B19" s="30">
        <v>2025</v>
      </c>
      <c r="C19" s="30">
        <v>3673</v>
      </c>
      <c r="D19" s="30">
        <v>913</v>
      </c>
      <c r="E19" s="30">
        <v>7679</v>
      </c>
      <c r="F19" s="30">
        <v>67350</v>
      </c>
      <c r="G19" s="30">
        <v>43</v>
      </c>
      <c r="H19" s="30">
        <v>245219</v>
      </c>
      <c r="I19" s="30">
        <v>3861</v>
      </c>
    </row>
    <row r="20" spans="1:9" x14ac:dyDescent="0.35">
      <c r="A20" s="30">
        <v>19</v>
      </c>
      <c r="B20" s="30">
        <v>2025</v>
      </c>
      <c r="C20" s="30">
        <v>5357</v>
      </c>
      <c r="D20" s="30">
        <v>4426</v>
      </c>
      <c r="E20" s="30">
        <v>8895</v>
      </c>
      <c r="F20" s="30">
        <v>35762</v>
      </c>
      <c r="G20" s="30">
        <v>98</v>
      </c>
      <c r="H20" s="30">
        <v>114923</v>
      </c>
      <c r="I20" s="30">
        <v>4322</v>
      </c>
    </row>
    <row r="21" spans="1:9" x14ac:dyDescent="0.35">
      <c r="A21" s="30">
        <v>20</v>
      </c>
      <c r="B21" s="30">
        <v>2025</v>
      </c>
      <c r="C21" s="30">
        <v>7338</v>
      </c>
      <c r="D21" s="30">
        <v>2053</v>
      </c>
      <c r="E21" s="30">
        <v>6879</v>
      </c>
      <c r="F21" s="30">
        <v>36493</v>
      </c>
      <c r="G21" s="30">
        <v>72</v>
      </c>
      <c r="H21" s="30">
        <v>263041</v>
      </c>
      <c r="I21" s="30">
        <v>805</v>
      </c>
    </row>
    <row r="22" spans="1:9" x14ac:dyDescent="0.35">
      <c r="A22" s="30">
        <v>21</v>
      </c>
      <c r="B22" s="30">
        <v>2025</v>
      </c>
      <c r="C22" s="30">
        <v>416</v>
      </c>
      <c r="D22" s="30">
        <v>2125</v>
      </c>
      <c r="E22" s="30">
        <v>16727</v>
      </c>
      <c r="F22" s="30">
        <v>74955</v>
      </c>
      <c r="G22" s="30">
        <v>95</v>
      </c>
      <c r="H22" s="30">
        <v>238852</v>
      </c>
      <c r="I22" s="30">
        <v>2671</v>
      </c>
    </row>
    <row r="23" spans="1:9" x14ac:dyDescent="0.35">
      <c r="A23" s="30">
        <v>22</v>
      </c>
      <c r="B23" s="30">
        <v>2025</v>
      </c>
      <c r="C23" s="30">
        <v>4387</v>
      </c>
      <c r="D23" s="30">
        <v>982</v>
      </c>
      <c r="E23" s="30">
        <v>42333</v>
      </c>
      <c r="F23" s="30">
        <v>5188</v>
      </c>
      <c r="G23" s="30">
        <v>71</v>
      </c>
      <c r="H23" s="30">
        <v>240204</v>
      </c>
      <c r="I23" s="30">
        <v>13507</v>
      </c>
    </row>
    <row r="24" spans="1:9" x14ac:dyDescent="0.35">
      <c r="A24" s="30">
        <v>23</v>
      </c>
      <c r="B24" s="30">
        <v>2025</v>
      </c>
      <c r="C24" s="30">
        <v>1872</v>
      </c>
      <c r="D24" s="30">
        <v>3313</v>
      </c>
      <c r="E24" s="30">
        <v>12941</v>
      </c>
      <c r="F24" s="30">
        <v>69978</v>
      </c>
      <c r="G24" s="30">
        <v>97</v>
      </c>
      <c r="H24" s="30">
        <v>221837</v>
      </c>
      <c r="I24" s="30">
        <v>5789</v>
      </c>
    </row>
    <row r="25" spans="1:9" x14ac:dyDescent="0.35">
      <c r="A25" s="30">
        <v>24</v>
      </c>
      <c r="B25" s="30">
        <v>2025</v>
      </c>
      <c r="C25" s="30">
        <v>4780</v>
      </c>
      <c r="D25" s="30">
        <v>1666</v>
      </c>
      <c r="E25" s="30">
        <v>30430</v>
      </c>
      <c r="F25" s="30">
        <v>12286</v>
      </c>
      <c r="G25" s="30">
        <v>47</v>
      </c>
      <c r="H25" s="30">
        <v>235084</v>
      </c>
      <c r="I25" s="30">
        <v>12401</v>
      </c>
    </row>
    <row r="26" spans="1:9" x14ac:dyDescent="0.35">
      <c r="A26" s="30">
        <v>25</v>
      </c>
      <c r="B26" s="30">
        <v>2025</v>
      </c>
      <c r="C26" s="30">
        <v>3928</v>
      </c>
      <c r="D26" s="30">
        <v>4169</v>
      </c>
      <c r="E26" s="30">
        <v>32745</v>
      </c>
      <c r="F26" s="30">
        <v>75010</v>
      </c>
      <c r="G26" s="30">
        <v>83</v>
      </c>
      <c r="H26" s="30">
        <v>134861</v>
      </c>
      <c r="I26" s="30">
        <v>7668</v>
      </c>
    </row>
    <row r="27" spans="1:9" x14ac:dyDescent="0.35">
      <c r="A27" s="30">
        <v>26</v>
      </c>
      <c r="B27" s="30">
        <v>2025</v>
      </c>
      <c r="C27" s="30">
        <v>1166</v>
      </c>
      <c r="D27" s="30">
        <v>2098</v>
      </c>
      <c r="E27" s="30">
        <v>13679</v>
      </c>
      <c r="F27" s="30">
        <v>68125</v>
      </c>
      <c r="G27" s="30">
        <v>42</v>
      </c>
      <c r="H27" s="30">
        <v>176561</v>
      </c>
      <c r="I27" s="30">
        <v>13865</v>
      </c>
    </row>
    <row r="28" spans="1:9" x14ac:dyDescent="0.35">
      <c r="A28" s="30">
        <v>27</v>
      </c>
      <c r="B28" s="30">
        <v>2025</v>
      </c>
      <c r="C28" s="30">
        <v>4028</v>
      </c>
      <c r="D28" s="30">
        <v>3299</v>
      </c>
      <c r="E28" s="30">
        <v>22245</v>
      </c>
      <c r="F28" s="30">
        <v>17518</v>
      </c>
      <c r="G28" s="30">
        <v>67</v>
      </c>
      <c r="H28" s="30">
        <v>299674</v>
      </c>
      <c r="I28" s="30">
        <v>6880</v>
      </c>
    </row>
    <row r="29" spans="1:9" x14ac:dyDescent="0.35">
      <c r="A29" s="30">
        <v>28</v>
      </c>
      <c r="B29" s="30">
        <v>2025</v>
      </c>
      <c r="C29" s="30">
        <v>4369</v>
      </c>
      <c r="D29" s="30">
        <v>3397</v>
      </c>
      <c r="E29" s="30">
        <v>3878</v>
      </c>
      <c r="F29" s="30">
        <v>41773</v>
      </c>
      <c r="G29" s="30">
        <v>39</v>
      </c>
      <c r="H29" s="30">
        <v>182270</v>
      </c>
      <c r="I29" s="30">
        <v>13291</v>
      </c>
    </row>
    <row r="30" spans="1:9" x14ac:dyDescent="0.35">
      <c r="A30" s="30">
        <v>29</v>
      </c>
      <c r="B30" s="30">
        <v>2025</v>
      </c>
      <c r="C30" s="30">
        <v>7335</v>
      </c>
      <c r="D30" s="30">
        <v>491</v>
      </c>
      <c r="E30" s="30">
        <v>16672</v>
      </c>
      <c r="F30" s="30">
        <v>15746</v>
      </c>
      <c r="G30" s="30">
        <v>36</v>
      </c>
      <c r="H30" s="30">
        <v>197434</v>
      </c>
      <c r="I30" s="30">
        <v>9920</v>
      </c>
    </row>
    <row r="31" spans="1:9" x14ac:dyDescent="0.35">
      <c r="A31" s="30">
        <v>30</v>
      </c>
      <c r="B31" s="30">
        <v>2025</v>
      </c>
      <c r="C31" s="30">
        <v>7359</v>
      </c>
      <c r="D31" s="30">
        <v>1319</v>
      </c>
      <c r="E31" s="30">
        <v>25268</v>
      </c>
      <c r="F31" s="30">
        <v>61391</v>
      </c>
      <c r="G31" s="30">
        <v>41</v>
      </c>
      <c r="H31" s="30">
        <v>191062</v>
      </c>
      <c r="I31" s="30">
        <v>3782</v>
      </c>
    </row>
    <row r="32" spans="1:9" x14ac:dyDescent="0.35">
      <c r="A32" s="30">
        <v>31</v>
      </c>
      <c r="B32" s="30">
        <v>2025</v>
      </c>
      <c r="C32" s="30">
        <v>1310</v>
      </c>
      <c r="D32" s="30">
        <v>172</v>
      </c>
      <c r="E32" s="30">
        <v>27672</v>
      </c>
      <c r="F32" s="30">
        <v>63557</v>
      </c>
      <c r="G32" s="30">
        <v>14</v>
      </c>
      <c r="H32" s="30">
        <v>237673</v>
      </c>
      <c r="I32" s="30">
        <v>7080</v>
      </c>
    </row>
    <row r="33" spans="1:9" x14ac:dyDescent="0.35">
      <c r="A33" s="30">
        <v>32</v>
      </c>
      <c r="B33" s="30">
        <v>2025</v>
      </c>
      <c r="C33" s="30">
        <v>4562</v>
      </c>
      <c r="D33" s="30">
        <v>2026</v>
      </c>
      <c r="E33" s="30">
        <v>5930</v>
      </c>
      <c r="F33" s="30">
        <v>8244</v>
      </c>
      <c r="G33" s="30">
        <v>52</v>
      </c>
      <c r="H33" s="30">
        <v>129709</v>
      </c>
      <c r="I33" s="30">
        <v>8284</v>
      </c>
    </row>
    <row r="34" spans="1:9" x14ac:dyDescent="0.35">
      <c r="A34" s="30">
        <v>33</v>
      </c>
      <c r="B34" s="30">
        <v>2025</v>
      </c>
      <c r="C34" s="30">
        <v>2155</v>
      </c>
      <c r="D34" s="30">
        <v>902</v>
      </c>
      <c r="E34" s="30">
        <v>33704</v>
      </c>
      <c r="F34" s="30">
        <v>10169</v>
      </c>
      <c r="G34" s="30">
        <v>99</v>
      </c>
      <c r="H34" s="30">
        <v>163884</v>
      </c>
      <c r="I34" s="30">
        <v>2110</v>
      </c>
    </row>
    <row r="35" spans="1:9" x14ac:dyDescent="0.35">
      <c r="A35" s="30">
        <v>34</v>
      </c>
      <c r="B35" s="30">
        <v>2025</v>
      </c>
      <c r="C35" s="30">
        <v>5613</v>
      </c>
      <c r="D35" s="30">
        <v>2888</v>
      </c>
      <c r="E35" s="30">
        <v>12308</v>
      </c>
      <c r="F35" s="30">
        <v>47218</v>
      </c>
      <c r="G35" s="30">
        <v>80</v>
      </c>
      <c r="H35" s="30">
        <v>219987</v>
      </c>
      <c r="I35" s="30">
        <v>1513</v>
      </c>
    </row>
    <row r="36" spans="1:9" x14ac:dyDescent="0.35">
      <c r="A36" s="30">
        <v>35</v>
      </c>
      <c r="B36" s="30">
        <v>2025</v>
      </c>
      <c r="C36" s="30">
        <v>2454</v>
      </c>
      <c r="D36" s="30">
        <v>3854</v>
      </c>
      <c r="E36" s="30">
        <v>1379</v>
      </c>
      <c r="F36" s="30">
        <v>54869</v>
      </c>
      <c r="G36" s="30">
        <v>40</v>
      </c>
      <c r="H36" s="30">
        <v>137018</v>
      </c>
      <c r="I36" s="30">
        <v>2639</v>
      </c>
    </row>
    <row r="37" spans="1:9" x14ac:dyDescent="0.35">
      <c r="A37" s="30">
        <v>36</v>
      </c>
      <c r="B37" s="30">
        <v>2025</v>
      </c>
      <c r="C37" s="30">
        <v>2882</v>
      </c>
      <c r="D37" s="30">
        <v>323</v>
      </c>
      <c r="E37" s="30">
        <v>37089</v>
      </c>
      <c r="F37" s="30">
        <v>4349</v>
      </c>
      <c r="G37" s="30">
        <v>9</v>
      </c>
      <c r="H37" s="30">
        <v>296840</v>
      </c>
      <c r="I37" s="30">
        <v>6571</v>
      </c>
    </row>
    <row r="38" spans="1:9" x14ac:dyDescent="0.35">
      <c r="A38" s="30">
        <v>37</v>
      </c>
      <c r="B38" s="30">
        <v>2025</v>
      </c>
      <c r="C38" s="30">
        <v>2821</v>
      </c>
      <c r="D38" s="30">
        <v>799</v>
      </c>
      <c r="E38" s="30">
        <v>40063</v>
      </c>
      <c r="F38" s="30">
        <v>6769</v>
      </c>
      <c r="G38" s="30">
        <v>73</v>
      </c>
      <c r="H38" s="30">
        <v>266379</v>
      </c>
      <c r="I38" s="30">
        <v>10064</v>
      </c>
    </row>
    <row r="39" spans="1:9" x14ac:dyDescent="0.35">
      <c r="A39" s="30">
        <v>38</v>
      </c>
      <c r="B39" s="30">
        <v>2025</v>
      </c>
      <c r="C39" s="30">
        <v>3403</v>
      </c>
      <c r="D39" s="30">
        <v>230</v>
      </c>
      <c r="E39" s="30">
        <v>23236</v>
      </c>
      <c r="F39" s="30">
        <v>42923</v>
      </c>
      <c r="G39" s="30">
        <v>42</v>
      </c>
      <c r="H39" s="30">
        <v>202553</v>
      </c>
      <c r="I39" s="30">
        <v>5304</v>
      </c>
    </row>
    <row r="40" spans="1:9" x14ac:dyDescent="0.35">
      <c r="A40" s="30">
        <v>39</v>
      </c>
      <c r="B40" s="30">
        <v>2025</v>
      </c>
      <c r="C40" s="30">
        <v>5325</v>
      </c>
      <c r="D40" s="30">
        <v>3308</v>
      </c>
      <c r="E40" s="30">
        <v>42555</v>
      </c>
      <c r="F40" s="30">
        <v>26321</v>
      </c>
      <c r="G40" s="30">
        <v>78</v>
      </c>
      <c r="H40" s="30">
        <v>127341</v>
      </c>
      <c r="I40" s="30">
        <v>340</v>
      </c>
    </row>
    <row r="41" spans="1:9" x14ac:dyDescent="0.35">
      <c r="A41" s="30">
        <v>40</v>
      </c>
      <c r="B41" s="30">
        <v>2025</v>
      </c>
      <c r="C41" s="30">
        <v>4720</v>
      </c>
      <c r="D41" s="30">
        <v>1037</v>
      </c>
      <c r="E41" s="30">
        <v>43538</v>
      </c>
      <c r="F41" s="30">
        <v>77394</v>
      </c>
      <c r="G41" s="30">
        <v>33</v>
      </c>
      <c r="H41" s="30">
        <v>287740</v>
      </c>
      <c r="I41" s="30">
        <v>11081</v>
      </c>
    </row>
    <row r="42" spans="1:9" x14ac:dyDescent="0.35">
      <c r="A42" s="30">
        <v>41</v>
      </c>
      <c r="B42" s="30">
        <v>2025</v>
      </c>
      <c r="C42" s="30">
        <v>1029</v>
      </c>
      <c r="D42" s="30">
        <v>2806</v>
      </c>
      <c r="E42" s="30">
        <v>14375</v>
      </c>
      <c r="F42" s="30">
        <v>51354</v>
      </c>
      <c r="G42" s="30">
        <v>42</v>
      </c>
      <c r="H42" s="30">
        <v>276420</v>
      </c>
      <c r="I42" s="30">
        <v>9609</v>
      </c>
    </row>
    <row r="43" spans="1:9" x14ac:dyDescent="0.35">
      <c r="A43" s="30">
        <v>42</v>
      </c>
      <c r="B43" s="30">
        <v>2025</v>
      </c>
      <c r="C43" s="30">
        <v>3319</v>
      </c>
      <c r="D43" s="30">
        <v>3634</v>
      </c>
      <c r="E43" s="30">
        <v>1459</v>
      </c>
      <c r="F43" s="30">
        <v>73241</v>
      </c>
      <c r="G43" s="30">
        <v>29</v>
      </c>
      <c r="H43" s="30">
        <v>88801</v>
      </c>
      <c r="I43" s="30">
        <v>3481</v>
      </c>
    </row>
    <row r="44" spans="1:9" x14ac:dyDescent="0.35">
      <c r="A44" s="30">
        <v>43</v>
      </c>
      <c r="B44" s="30">
        <v>2025</v>
      </c>
      <c r="C44" s="30">
        <v>4152</v>
      </c>
      <c r="D44" s="30">
        <v>1997</v>
      </c>
      <c r="E44" s="30">
        <v>5458</v>
      </c>
      <c r="F44" s="30">
        <v>58074</v>
      </c>
      <c r="G44" s="30">
        <v>94</v>
      </c>
      <c r="H44" s="30">
        <v>269292</v>
      </c>
      <c r="I44" s="30">
        <v>14402</v>
      </c>
    </row>
    <row r="45" spans="1:9" x14ac:dyDescent="0.35">
      <c r="A45" s="30">
        <v>44</v>
      </c>
      <c r="B45" s="30">
        <v>2025</v>
      </c>
      <c r="C45" s="30">
        <v>4979</v>
      </c>
      <c r="D45" s="30">
        <v>1384</v>
      </c>
      <c r="E45" s="30">
        <v>29522</v>
      </c>
      <c r="F45" s="30">
        <v>75234</v>
      </c>
      <c r="G45" s="30">
        <v>54</v>
      </c>
      <c r="H45" s="30">
        <v>60593</v>
      </c>
      <c r="I45" s="30">
        <v>3385</v>
      </c>
    </row>
    <row r="46" spans="1:9" x14ac:dyDescent="0.35">
      <c r="A46" s="30">
        <v>45</v>
      </c>
      <c r="B46" s="30">
        <v>2025</v>
      </c>
      <c r="C46" s="30">
        <v>7829</v>
      </c>
      <c r="D46" s="30">
        <v>4214</v>
      </c>
      <c r="E46" s="30">
        <v>20397</v>
      </c>
      <c r="F46" s="30">
        <v>19302</v>
      </c>
      <c r="G46" s="30">
        <v>9</v>
      </c>
      <c r="H46" s="30">
        <v>20404</v>
      </c>
      <c r="I46" s="30">
        <v>6895</v>
      </c>
    </row>
    <row r="47" spans="1:9" x14ac:dyDescent="0.35">
      <c r="A47" s="30">
        <v>46</v>
      </c>
      <c r="B47" s="30">
        <v>2025</v>
      </c>
      <c r="C47" s="30">
        <v>973</v>
      </c>
      <c r="D47" s="30">
        <v>4273</v>
      </c>
      <c r="E47" s="30">
        <v>17648</v>
      </c>
      <c r="F47" s="30">
        <v>42617</v>
      </c>
      <c r="G47" s="30">
        <v>7</v>
      </c>
      <c r="H47" s="30">
        <v>203652</v>
      </c>
      <c r="I47" s="30">
        <v>1736</v>
      </c>
    </row>
    <row r="48" spans="1:9" x14ac:dyDescent="0.35">
      <c r="A48" s="30">
        <v>47</v>
      </c>
      <c r="B48" s="30">
        <v>2025</v>
      </c>
      <c r="C48" s="30">
        <v>1455</v>
      </c>
      <c r="D48" s="30">
        <v>1607</v>
      </c>
      <c r="E48" s="30">
        <v>28702</v>
      </c>
      <c r="F48" s="30">
        <v>44816</v>
      </c>
      <c r="G48" s="30">
        <v>53</v>
      </c>
      <c r="H48" s="30">
        <v>298520</v>
      </c>
      <c r="I48" s="30">
        <v>4696</v>
      </c>
    </row>
    <row r="49" spans="1:9" x14ac:dyDescent="0.35">
      <c r="A49" s="30">
        <v>48</v>
      </c>
      <c r="B49" s="30">
        <v>2025</v>
      </c>
      <c r="C49" s="30">
        <v>4948</v>
      </c>
      <c r="D49" s="30">
        <v>2253</v>
      </c>
      <c r="E49" s="30">
        <v>3758</v>
      </c>
      <c r="F49" s="30">
        <v>69250</v>
      </c>
      <c r="G49" s="30">
        <v>33</v>
      </c>
      <c r="H49" s="30">
        <v>4774</v>
      </c>
      <c r="I49" s="30">
        <v>3310</v>
      </c>
    </row>
    <row r="50" spans="1:9" x14ac:dyDescent="0.35">
      <c r="A50" s="30">
        <v>49</v>
      </c>
      <c r="B50" s="30">
        <v>2025</v>
      </c>
      <c r="C50" s="30">
        <v>1870</v>
      </c>
      <c r="D50" s="30">
        <v>2409</v>
      </c>
      <c r="E50" s="30">
        <v>14574</v>
      </c>
      <c r="F50" s="30">
        <v>78631</v>
      </c>
      <c r="G50" s="30">
        <v>8</v>
      </c>
      <c r="H50" s="30">
        <v>89304</v>
      </c>
      <c r="I50" s="30">
        <v>12993</v>
      </c>
    </row>
    <row r="51" spans="1:9" x14ac:dyDescent="0.35">
      <c r="A51" s="30">
        <v>50</v>
      </c>
      <c r="B51" s="30">
        <v>2025</v>
      </c>
      <c r="C51" s="30">
        <v>4580</v>
      </c>
      <c r="D51" s="30">
        <v>1994</v>
      </c>
      <c r="E51" s="30">
        <v>43544</v>
      </c>
      <c r="F51" s="30">
        <v>19740</v>
      </c>
      <c r="G51" s="30">
        <v>18</v>
      </c>
      <c r="H51" s="30">
        <v>278813</v>
      </c>
      <c r="I51" s="30">
        <v>11790</v>
      </c>
    </row>
    <row r="52" spans="1:9" x14ac:dyDescent="0.35">
      <c r="A52" s="30">
        <v>51</v>
      </c>
      <c r="B52" s="30">
        <v>2025</v>
      </c>
      <c r="C52" s="30">
        <v>265</v>
      </c>
      <c r="D52" s="30">
        <v>4057</v>
      </c>
      <c r="E52" s="30">
        <v>47361</v>
      </c>
      <c r="F52" s="30">
        <v>35013</v>
      </c>
      <c r="G52" s="30">
        <v>56</v>
      </c>
      <c r="H52" s="30">
        <v>188068</v>
      </c>
      <c r="I52" s="30">
        <v>5221</v>
      </c>
    </row>
    <row r="53" spans="1:9" x14ac:dyDescent="0.35">
      <c r="A53" s="30">
        <v>52</v>
      </c>
      <c r="B53" s="30">
        <v>2025</v>
      </c>
      <c r="C53" s="30">
        <v>2431</v>
      </c>
      <c r="D53" s="30">
        <v>2115</v>
      </c>
      <c r="E53" s="30">
        <v>39710</v>
      </c>
      <c r="F53" s="30">
        <v>48057</v>
      </c>
      <c r="G53" s="30">
        <v>57</v>
      </c>
      <c r="H53" s="30">
        <v>65544</v>
      </c>
      <c r="I53" s="30">
        <v>677</v>
      </c>
    </row>
    <row r="54" spans="1:9" x14ac:dyDescent="0.35">
      <c r="A54" s="30">
        <v>53</v>
      </c>
      <c r="B54" s="30">
        <v>2025</v>
      </c>
      <c r="C54" s="30">
        <v>7809</v>
      </c>
      <c r="D54" s="30">
        <v>402</v>
      </c>
      <c r="E54" s="30">
        <v>5331</v>
      </c>
      <c r="F54" s="30">
        <v>48198</v>
      </c>
      <c r="G54" s="30">
        <v>79</v>
      </c>
      <c r="H54" s="30">
        <v>294444</v>
      </c>
      <c r="I54" s="30">
        <v>2731</v>
      </c>
    </row>
    <row r="55" spans="1:9" x14ac:dyDescent="0.35">
      <c r="A55" s="30">
        <v>54</v>
      </c>
      <c r="B55" s="30">
        <v>2025</v>
      </c>
      <c r="C55" s="30">
        <v>2189</v>
      </c>
      <c r="D55" s="30">
        <v>4755</v>
      </c>
      <c r="E55" s="30">
        <v>43780</v>
      </c>
      <c r="F55" s="30">
        <v>53180</v>
      </c>
      <c r="G55" s="30">
        <v>10</v>
      </c>
      <c r="H55" s="30">
        <v>202809</v>
      </c>
      <c r="I55" s="30">
        <v>5718</v>
      </c>
    </row>
    <row r="56" spans="1:9" x14ac:dyDescent="0.35">
      <c r="A56" s="30">
        <v>55</v>
      </c>
      <c r="B56" s="30">
        <v>2025</v>
      </c>
      <c r="C56" s="30">
        <v>6564</v>
      </c>
      <c r="D56" s="30">
        <v>2544</v>
      </c>
      <c r="E56" s="30">
        <v>23227</v>
      </c>
      <c r="F56" s="30">
        <v>20735</v>
      </c>
      <c r="G56" s="30">
        <v>34</v>
      </c>
      <c r="H56" s="30">
        <v>214099</v>
      </c>
      <c r="I56" s="30">
        <v>830</v>
      </c>
    </row>
    <row r="57" spans="1:9" x14ac:dyDescent="0.35">
      <c r="A57" s="30">
        <v>56</v>
      </c>
      <c r="B57" s="30">
        <v>2025</v>
      </c>
      <c r="C57" s="30">
        <v>3025</v>
      </c>
      <c r="D57" s="30">
        <v>3595</v>
      </c>
      <c r="E57" s="30">
        <v>25295</v>
      </c>
      <c r="F57" s="30">
        <v>23809</v>
      </c>
      <c r="G57" s="30">
        <v>68</v>
      </c>
      <c r="H57" s="30">
        <v>78556</v>
      </c>
      <c r="I57" s="30">
        <v>13603</v>
      </c>
    </row>
    <row r="58" spans="1:9" x14ac:dyDescent="0.35">
      <c r="A58" s="30">
        <v>57</v>
      </c>
      <c r="B58" s="30">
        <v>2025</v>
      </c>
      <c r="C58" s="30">
        <v>5777</v>
      </c>
      <c r="D58" s="30">
        <v>3910</v>
      </c>
      <c r="E58" s="30">
        <v>34430</v>
      </c>
      <c r="F58" s="30">
        <v>36686</v>
      </c>
      <c r="G58" s="30">
        <v>40</v>
      </c>
      <c r="H58" s="30">
        <v>37567</v>
      </c>
      <c r="I58" s="30">
        <v>4292</v>
      </c>
    </row>
    <row r="59" spans="1:9" x14ac:dyDescent="0.35">
      <c r="A59" s="30">
        <v>58</v>
      </c>
      <c r="B59" s="30">
        <v>2025</v>
      </c>
      <c r="C59" s="30">
        <v>7190</v>
      </c>
      <c r="D59" s="30">
        <v>92</v>
      </c>
      <c r="E59" s="30">
        <v>35454</v>
      </c>
      <c r="F59" s="30">
        <v>8661</v>
      </c>
      <c r="G59" s="30">
        <v>6</v>
      </c>
      <c r="H59" s="30">
        <v>268524</v>
      </c>
      <c r="I59" s="30">
        <v>3326</v>
      </c>
    </row>
    <row r="60" spans="1:9" x14ac:dyDescent="0.35">
      <c r="A60" s="30">
        <v>59</v>
      </c>
      <c r="B60" s="30">
        <v>2025</v>
      </c>
      <c r="C60" s="30">
        <v>4291</v>
      </c>
      <c r="D60" s="30">
        <v>3471</v>
      </c>
      <c r="E60" s="30">
        <v>5975</v>
      </c>
      <c r="F60" s="30">
        <v>59035</v>
      </c>
      <c r="G60" s="30">
        <v>88</v>
      </c>
      <c r="H60" s="30">
        <v>214213</v>
      </c>
      <c r="I60" s="30">
        <v>8165</v>
      </c>
    </row>
    <row r="61" spans="1:9" x14ac:dyDescent="0.35">
      <c r="A61" s="30">
        <v>60</v>
      </c>
      <c r="B61" s="30">
        <v>2025</v>
      </c>
      <c r="C61" s="30">
        <v>3343</v>
      </c>
      <c r="D61" s="30">
        <v>2246</v>
      </c>
      <c r="E61" s="30">
        <v>26881</v>
      </c>
      <c r="F61" s="30">
        <v>35315</v>
      </c>
      <c r="G61" s="30">
        <v>59</v>
      </c>
      <c r="H61" s="30">
        <v>30689</v>
      </c>
      <c r="I61" s="30">
        <v>13407</v>
      </c>
    </row>
    <row r="62" spans="1:9" x14ac:dyDescent="0.35">
      <c r="A62" s="30">
        <v>61</v>
      </c>
      <c r="B62" s="30">
        <v>2025</v>
      </c>
      <c r="C62" s="30">
        <v>7123</v>
      </c>
      <c r="D62" s="30">
        <v>571</v>
      </c>
      <c r="E62" s="30">
        <v>35763</v>
      </c>
      <c r="F62" s="30">
        <v>59501</v>
      </c>
      <c r="G62" s="30">
        <v>20</v>
      </c>
      <c r="H62" s="30">
        <v>267153</v>
      </c>
      <c r="I62" s="30">
        <v>12983</v>
      </c>
    </row>
    <row r="63" spans="1:9" x14ac:dyDescent="0.35">
      <c r="A63" s="30">
        <v>62</v>
      </c>
      <c r="B63" s="30">
        <v>2025</v>
      </c>
      <c r="C63" s="30">
        <v>7781</v>
      </c>
      <c r="D63" s="30">
        <v>2140</v>
      </c>
      <c r="E63" s="30">
        <v>36232</v>
      </c>
      <c r="F63" s="30">
        <v>66973</v>
      </c>
      <c r="G63" s="30">
        <v>47</v>
      </c>
      <c r="H63" s="30">
        <v>141289</v>
      </c>
      <c r="I63" s="30">
        <v>14097</v>
      </c>
    </row>
    <row r="64" spans="1:9" x14ac:dyDescent="0.35">
      <c r="A64" s="30">
        <v>63</v>
      </c>
      <c r="B64" s="30">
        <v>2025</v>
      </c>
      <c r="C64" s="30">
        <v>7033</v>
      </c>
      <c r="D64" s="30">
        <v>169</v>
      </c>
      <c r="E64" s="30">
        <v>45002</v>
      </c>
      <c r="F64" s="30">
        <v>36330</v>
      </c>
      <c r="G64" s="30">
        <v>76</v>
      </c>
      <c r="H64" s="30">
        <v>256347</v>
      </c>
      <c r="I64" s="30">
        <v>5992</v>
      </c>
    </row>
    <row r="65" spans="1:9" x14ac:dyDescent="0.35">
      <c r="A65" s="30">
        <v>64</v>
      </c>
      <c r="B65" s="30">
        <v>2025</v>
      </c>
      <c r="C65" s="30">
        <v>7505</v>
      </c>
      <c r="D65" s="30">
        <v>4909</v>
      </c>
      <c r="E65" s="30">
        <v>5281</v>
      </c>
      <c r="F65" s="30">
        <v>42445</v>
      </c>
      <c r="G65" s="30">
        <v>13</v>
      </c>
      <c r="H65" s="30">
        <v>39382</v>
      </c>
      <c r="I65" s="30">
        <v>13368</v>
      </c>
    </row>
    <row r="66" spans="1:9" x14ac:dyDescent="0.35">
      <c r="A66" s="30">
        <v>65</v>
      </c>
      <c r="B66" s="30">
        <v>2025</v>
      </c>
      <c r="C66" s="30">
        <v>3563</v>
      </c>
      <c r="D66" s="30">
        <v>4771</v>
      </c>
      <c r="E66" s="30">
        <v>48272</v>
      </c>
      <c r="F66" s="30">
        <v>12978</v>
      </c>
      <c r="G66" s="30">
        <v>82</v>
      </c>
      <c r="H66" s="30">
        <v>27275</v>
      </c>
      <c r="I66" s="30">
        <v>1128</v>
      </c>
    </row>
    <row r="67" spans="1:9" x14ac:dyDescent="0.35">
      <c r="A67" s="30">
        <v>66</v>
      </c>
      <c r="B67" s="30">
        <v>2025</v>
      </c>
      <c r="C67" s="30">
        <v>6525</v>
      </c>
      <c r="D67" s="30">
        <v>4753</v>
      </c>
      <c r="E67" s="30">
        <v>27919</v>
      </c>
      <c r="F67" s="30">
        <v>9667</v>
      </c>
      <c r="G67" s="30">
        <v>80</v>
      </c>
      <c r="H67" s="30">
        <v>71200</v>
      </c>
      <c r="I67" s="30">
        <v>11139</v>
      </c>
    </row>
    <row r="68" spans="1:9" x14ac:dyDescent="0.35">
      <c r="A68" s="30">
        <v>67</v>
      </c>
      <c r="B68" s="30">
        <v>2025</v>
      </c>
      <c r="C68" s="30">
        <v>2853</v>
      </c>
      <c r="D68" s="30">
        <v>4050</v>
      </c>
      <c r="E68" s="30">
        <v>20900</v>
      </c>
      <c r="F68" s="30">
        <v>37677</v>
      </c>
      <c r="G68" s="30">
        <v>76</v>
      </c>
      <c r="H68" s="30">
        <v>215517</v>
      </c>
      <c r="I68" s="30">
        <v>10019</v>
      </c>
    </row>
    <row r="69" spans="1:9" x14ac:dyDescent="0.35">
      <c r="A69" s="30">
        <v>68</v>
      </c>
      <c r="B69" s="30">
        <v>2025</v>
      </c>
      <c r="C69" s="30">
        <v>4984</v>
      </c>
      <c r="D69" s="30">
        <v>3524</v>
      </c>
      <c r="E69" s="30">
        <v>10052</v>
      </c>
      <c r="F69" s="30">
        <v>23971</v>
      </c>
      <c r="G69" s="30">
        <v>6</v>
      </c>
      <c r="H69" s="30">
        <v>81190</v>
      </c>
      <c r="I69" s="30">
        <v>4575</v>
      </c>
    </row>
    <row r="70" spans="1:9" x14ac:dyDescent="0.35">
      <c r="A70" s="30">
        <v>69</v>
      </c>
      <c r="B70" s="30">
        <v>2025</v>
      </c>
      <c r="C70" s="30">
        <v>1563</v>
      </c>
      <c r="D70" s="30">
        <v>3980</v>
      </c>
      <c r="E70" s="30">
        <v>43614</v>
      </c>
      <c r="F70" s="30">
        <v>40447</v>
      </c>
      <c r="G70" s="30">
        <v>83</v>
      </c>
      <c r="H70" s="30">
        <v>21919</v>
      </c>
      <c r="I70" s="30">
        <v>4817</v>
      </c>
    </row>
    <row r="71" spans="1:9" x14ac:dyDescent="0.35">
      <c r="A71" s="30">
        <v>70</v>
      </c>
      <c r="B71" s="30">
        <v>2025</v>
      </c>
      <c r="C71" s="30">
        <v>3793</v>
      </c>
      <c r="D71" s="30">
        <v>4422</v>
      </c>
      <c r="E71" s="30">
        <v>9792</v>
      </c>
      <c r="F71" s="30">
        <v>79004</v>
      </c>
      <c r="G71" s="30">
        <v>14</v>
      </c>
      <c r="H71" s="30">
        <v>186673</v>
      </c>
      <c r="I71" s="30">
        <v>14782</v>
      </c>
    </row>
    <row r="72" spans="1:9" x14ac:dyDescent="0.35">
      <c r="A72" s="30">
        <v>71</v>
      </c>
      <c r="B72" s="30">
        <v>2025</v>
      </c>
      <c r="C72" s="30">
        <v>2935</v>
      </c>
      <c r="D72" s="30">
        <v>4745</v>
      </c>
      <c r="E72" s="30">
        <v>18396</v>
      </c>
      <c r="F72" s="30">
        <v>46702</v>
      </c>
      <c r="G72" s="30">
        <v>56</v>
      </c>
      <c r="H72" s="30">
        <v>298803</v>
      </c>
      <c r="I72" s="30">
        <v>10210</v>
      </c>
    </row>
    <row r="73" spans="1:9" x14ac:dyDescent="0.35">
      <c r="A73" s="30">
        <v>72</v>
      </c>
      <c r="B73" s="30">
        <v>2025</v>
      </c>
      <c r="C73" s="30">
        <v>6543</v>
      </c>
      <c r="D73" s="30">
        <v>3910</v>
      </c>
      <c r="E73" s="30">
        <v>13855</v>
      </c>
      <c r="F73" s="30">
        <v>71837</v>
      </c>
      <c r="G73" s="30">
        <v>98</v>
      </c>
      <c r="H73" s="30">
        <v>63024</v>
      </c>
      <c r="I73" s="30">
        <v>8705</v>
      </c>
    </row>
    <row r="74" spans="1:9" x14ac:dyDescent="0.35">
      <c r="A74" s="30">
        <v>73</v>
      </c>
      <c r="B74" s="30">
        <v>2025</v>
      </c>
      <c r="C74" s="30">
        <v>868</v>
      </c>
      <c r="D74" s="30">
        <v>1224</v>
      </c>
      <c r="E74" s="30">
        <v>17955</v>
      </c>
      <c r="F74" s="30">
        <v>40558</v>
      </c>
      <c r="G74" s="30">
        <v>64</v>
      </c>
      <c r="H74" s="30">
        <v>276431</v>
      </c>
      <c r="I74" s="30">
        <v>12419</v>
      </c>
    </row>
    <row r="75" spans="1:9" x14ac:dyDescent="0.35">
      <c r="A75" s="30">
        <v>74</v>
      </c>
      <c r="B75" s="30">
        <v>2025</v>
      </c>
      <c r="C75" s="30">
        <v>6790</v>
      </c>
      <c r="D75" s="30">
        <v>3035</v>
      </c>
      <c r="E75" s="30">
        <v>25702</v>
      </c>
      <c r="F75" s="30">
        <v>10477</v>
      </c>
      <c r="G75" s="30">
        <v>94</v>
      </c>
      <c r="H75" s="30">
        <v>128863</v>
      </c>
      <c r="I75" s="30">
        <v>7414</v>
      </c>
    </row>
    <row r="76" spans="1:9" x14ac:dyDescent="0.35">
      <c r="A76" s="30">
        <v>75</v>
      </c>
      <c r="B76" s="30">
        <v>2025</v>
      </c>
      <c r="C76" s="30">
        <v>1934</v>
      </c>
      <c r="D76" s="30">
        <v>731</v>
      </c>
      <c r="E76" s="30">
        <v>43294</v>
      </c>
      <c r="F76" s="30">
        <v>63163</v>
      </c>
      <c r="G76" s="30">
        <v>34</v>
      </c>
      <c r="H76" s="30">
        <v>163623</v>
      </c>
      <c r="I76" s="30">
        <v>14708</v>
      </c>
    </row>
    <row r="77" spans="1:9" x14ac:dyDescent="0.35">
      <c r="A77" s="30">
        <v>76</v>
      </c>
      <c r="B77" s="30">
        <v>2025</v>
      </c>
      <c r="C77" s="30">
        <v>4444</v>
      </c>
      <c r="D77" s="30">
        <v>3594</v>
      </c>
      <c r="E77" s="30">
        <v>33790</v>
      </c>
      <c r="F77" s="30">
        <v>72800</v>
      </c>
      <c r="G77" s="30">
        <v>79</v>
      </c>
      <c r="H77" s="30">
        <v>133856</v>
      </c>
      <c r="I77" s="30">
        <v>1399</v>
      </c>
    </row>
    <row r="78" spans="1:9" x14ac:dyDescent="0.35">
      <c r="A78" s="30">
        <v>77</v>
      </c>
      <c r="B78" s="30">
        <v>2025</v>
      </c>
      <c r="C78" s="30">
        <v>626</v>
      </c>
      <c r="D78" s="30">
        <v>1793</v>
      </c>
      <c r="E78" s="30">
        <v>43483</v>
      </c>
      <c r="F78" s="30">
        <v>11771</v>
      </c>
      <c r="G78" s="30">
        <v>71</v>
      </c>
      <c r="H78" s="30">
        <v>257974</v>
      </c>
      <c r="I78" s="30">
        <v>2525</v>
      </c>
    </row>
    <row r="79" spans="1:9" x14ac:dyDescent="0.35">
      <c r="A79" s="30">
        <v>78</v>
      </c>
      <c r="B79" s="30">
        <v>2025</v>
      </c>
      <c r="C79" s="30">
        <v>4863</v>
      </c>
      <c r="D79" s="30">
        <v>1745</v>
      </c>
      <c r="E79" s="30">
        <v>38318</v>
      </c>
      <c r="F79" s="30">
        <v>39969</v>
      </c>
      <c r="G79" s="30">
        <v>31</v>
      </c>
      <c r="H79" s="30">
        <v>234988</v>
      </c>
      <c r="I79" s="30">
        <v>4366</v>
      </c>
    </row>
    <row r="80" spans="1:9" x14ac:dyDescent="0.35">
      <c r="A80" s="30">
        <v>79</v>
      </c>
      <c r="B80" s="30">
        <v>2025</v>
      </c>
      <c r="C80" s="30">
        <v>5980</v>
      </c>
      <c r="D80" s="30">
        <v>677</v>
      </c>
      <c r="E80" s="30">
        <v>45348</v>
      </c>
      <c r="F80" s="30">
        <v>66769</v>
      </c>
      <c r="G80" s="30">
        <v>54</v>
      </c>
      <c r="H80" s="30">
        <v>10830</v>
      </c>
      <c r="I80" s="30">
        <v>8258</v>
      </c>
    </row>
    <row r="81" spans="1:9" x14ac:dyDescent="0.35">
      <c r="A81" s="30">
        <v>80</v>
      </c>
      <c r="B81" s="30">
        <v>2025</v>
      </c>
      <c r="C81" s="30">
        <v>1068</v>
      </c>
      <c r="D81" s="30">
        <v>3238</v>
      </c>
      <c r="E81" s="30">
        <v>44169</v>
      </c>
      <c r="F81" s="30">
        <v>18567</v>
      </c>
      <c r="G81" s="30">
        <v>42</v>
      </c>
      <c r="H81" s="30">
        <v>142565</v>
      </c>
      <c r="I81" s="30">
        <v>1836</v>
      </c>
    </row>
    <row r="82" spans="1:9" x14ac:dyDescent="0.35">
      <c r="A82" s="30">
        <v>81</v>
      </c>
      <c r="B82" s="30">
        <v>2025</v>
      </c>
      <c r="C82" s="30">
        <v>1854</v>
      </c>
      <c r="D82" s="30">
        <v>1044</v>
      </c>
      <c r="E82" s="30">
        <v>34812</v>
      </c>
      <c r="F82" s="30">
        <v>48926</v>
      </c>
      <c r="G82" s="30">
        <v>18</v>
      </c>
      <c r="H82" s="30">
        <v>238462</v>
      </c>
      <c r="I82" s="30">
        <v>5580</v>
      </c>
    </row>
    <row r="83" spans="1:9" x14ac:dyDescent="0.35">
      <c r="A83" s="30">
        <v>82</v>
      </c>
      <c r="B83" s="30">
        <v>2025</v>
      </c>
      <c r="C83" s="30">
        <v>3870</v>
      </c>
      <c r="D83" s="30">
        <v>4010</v>
      </c>
      <c r="E83" s="30">
        <v>5523</v>
      </c>
      <c r="F83" s="30">
        <v>77938</v>
      </c>
      <c r="G83" s="30">
        <v>99</v>
      </c>
      <c r="H83" s="30">
        <v>108466</v>
      </c>
      <c r="I83" s="30">
        <v>3647</v>
      </c>
    </row>
    <row r="84" spans="1:9" x14ac:dyDescent="0.35">
      <c r="A84" s="30">
        <v>83</v>
      </c>
      <c r="B84" s="30">
        <v>2025</v>
      </c>
      <c r="C84" s="30">
        <v>3984</v>
      </c>
      <c r="D84" s="30">
        <v>3886</v>
      </c>
      <c r="E84" s="30">
        <v>6603</v>
      </c>
      <c r="F84" s="30">
        <v>23931</v>
      </c>
      <c r="G84" s="30">
        <v>20</v>
      </c>
      <c r="H84" s="30">
        <v>44902</v>
      </c>
      <c r="I84" s="30">
        <v>14142</v>
      </c>
    </row>
    <row r="85" spans="1:9" x14ac:dyDescent="0.35">
      <c r="A85" s="30">
        <v>84</v>
      </c>
      <c r="B85" s="30">
        <v>2025</v>
      </c>
      <c r="C85" s="30">
        <v>550</v>
      </c>
      <c r="D85" s="30">
        <v>3134</v>
      </c>
      <c r="E85" s="30">
        <v>43914</v>
      </c>
      <c r="F85" s="30">
        <v>11256</v>
      </c>
      <c r="G85" s="30">
        <v>65</v>
      </c>
      <c r="H85" s="30">
        <v>84855</v>
      </c>
      <c r="I85" s="30">
        <v>6472</v>
      </c>
    </row>
    <row r="86" spans="1:9" x14ac:dyDescent="0.35">
      <c r="A86" s="30">
        <v>85</v>
      </c>
      <c r="B86" s="30">
        <v>2025</v>
      </c>
      <c r="C86" s="30">
        <v>1323</v>
      </c>
      <c r="D86" s="30">
        <v>4202</v>
      </c>
      <c r="E86" s="30">
        <v>40952</v>
      </c>
      <c r="F86" s="30">
        <v>75562</v>
      </c>
      <c r="G86" s="30">
        <v>83</v>
      </c>
      <c r="H86" s="30">
        <v>103035</v>
      </c>
      <c r="I86" s="30">
        <v>1230</v>
      </c>
    </row>
    <row r="87" spans="1:9" x14ac:dyDescent="0.35">
      <c r="A87" s="30">
        <v>86</v>
      </c>
      <c r="B87" s="30">
        <v>2025</v>
      </c>
      <c r="C87" s="30">
        <v>6967</v>
      </c>
      <c r="D87" s="30">
        <v>1865</v>
      </c>
      <c r="E87" s="30">
        <v>39190</v>
      </c>
      <c r="F87" s="30">
        <v>74183</v>
      </c>
      <c r="G87" s="30">
        <v>27</v>
      </c>
      <c r="H87" s="30">
        <v>54186</v>
      </c>
      <c r="I87" s="30">
        <v>3260</v>
      </c>
    </row>
    <row r="88" spans="1:9" x14ac:dyDescent="0.35">
      <c r="A88" s="30">
        <v>87</v>
      </c>
      <c r="B88" s="30">
        <v>2025</v>
      </c>
      <c r="C88" s="30">
        <v>1555</v>
      </c>
      <c r="D88" s="30">
        <v>2812</v>
      </c>
      <c r="E88" s="30">
        <v>5575</v>
      </c>
      <c r="F88" s="30">
        <v>37093</v>
      </c>
      <c r="G88" s="30">
        <v>39</v>
      </c>
      <c r="H88" s="30">
        <v>119554</v>
      </c>
      <c r="I88" s="30">
        <v>5171</v>
      </c>
    </row>
    <row r="89" spans="1:9" x14ac:dyDescent="0.35">
      <c r="A89" s="30">
        <v>88</v>
      </c>
      <c r="B89" s="30">
        <v>2025</v>
      </c>
      <c r="C89" s="30">
        <v>6564</v>
      </c>
      <c r="D89" s="30">
        <v>2623</v>
      </c>
      <c r="E89" s="30">
        <v>24944</v>
      </c>
      <c r="F89" s="30">
        <v>34675</v>
      </c>
      <c r="G89" s="30">
        <v>16</v>
      </c>
      <c r="H89" s="30">
        <v>282965</v>
      </c>
      <c r="I89" s="30">
        <v>9474</v>
      </c>
    </row>
    <row r="90" spans="1:9" x14ac:dyDescent="0.35">
      <c r="A90" s="30">
        <v>89</v>
      </c>
      <c r="B90" s="30">
        <v>2025</v>
      </c>
      <c r="C90" s="30">
        <v>6009</v>
      </c>
      <c r="D90" s="30">
        <v>1814</v>
      </c>
      <c r="E90" s="30">
        <v>15547</v>
      </c>
      <c r="F90" s="30">
        <v>10304</v>
      </c>
      <c r="G90" s="30">
        <v>91</v>
      </c>
      <c r="H90" s="30">
        <v>87619</v>
      </c>
      <c r="I90" s="30">
        <v>7458</v>
      </c>
    </row>
    <row r="91" spans="1:9" x14ac:dyDescent="0.35">
      <c r="A91" s="30">
        <v>90</v>
      </c>
      <c r="B91" s="30">
        <v>2025</v>
      </c>
      <c r="C91" s="30">
        <v>2652</v>
      </c>
      <c r="D91" s="30">
        <v>1369</v>
      </c>
      <c r="E91" s="30">
        <v>33061</v>
      </c>
      <c r="F91" s="30">
        <v>43937</v>
      </c>
      <c r="G91" s="30">
        <v>63</v>
      </c>
      <c r="H91" s="30">
        <v>142218</v>
      </c>
      <c r="I91" s="30">
        <v>14043</v>
      </c>
    </row>
    <row r="92" spans="1:9" x14ac:dyDescent="0.35">
      <c r="A92" s="30">
        <v>91</v>
      </c>
      <c r="B92" s="30">
        <v>2025</v>
      </c>
      <c r="C92" s="30">
        <v>4304</v>
      </c>
      <c r="D92" s="30">
        <v>2363</v>
      </c>
      <c r="E92" s="30">
        <v>590</v>
      </c>
      <c r="F92" s="30">
        <v>41189</v>
      </c>
      <c r="G92" s="30">
        <v>29</v>
      </c>
      <c r="H92" s="30">
        <v>78238</v>
      </c>
      <c r="I92" s="30">
        <v>1705</v>
      </c>
    </row>
    <row r="93" spans="1:9" x14ac:dyDescent="0.35">
      <c r="A93" s="30">
        <v>92</v>
      </c>
      <c r="B93" s="30">
        <v>2025</v>
      </c>
      <c r="C93" s="30">
        <v>2483</v>
      </c>
      <c r="D93" s="30">
        <v>1835</v>
      </c>
      <c r="E93" s="30">
        <v>40069</v>
      </c>
      <c r="F93" s="30">
        <v>34800</v>
      </c>
      <c r="G93" s="30">
        <v>8</v>
      </c>
      <c r="H93" s="30">
        <v>25220</v>
      </c>
      <c r="I93" s="30">
        <v>7248</v>
      </c>
    </row>
    <row r="94" spans="1:9" x14ac:dyDescent="0.35">
      <c r="A94" s="30">
        <v>93</v>
      </c>
      <c r="B94" s="30">
        <v>2025</v>
      </c>
      <c r="C94" s="30">
        <v>5655</v>
      </c>
      <c r="D94" s="30">
        <v>2914</v>
      </c>
      <c r="E94" s="30">
        <v>17708</v>
      </c>
      <c r="F94" s="30">
        <v>76336</v>
      </c>
      <c r="G94" s="30">
        <v>52</v>
      </c>
      <c r="H94" s="30">
        <v>183519</v>
      </c>
      <c r="I94" s="30">
        <v>4587</v>
      </c>
    </row>
    <row r="95" spans="1:9" x14ac:dyDescent="0.35">
      <c r="A95" s="30">
        <v>94</v>
      </c>
      <c r="B95" s="30">
        <v>2025</v>
      </c>
      <c r="C95" s="30">
        <v>1070</v>
      </c>
      <c r="D95" s="30">
        <v>4615</v>
      </c>
      <c r="E95" s="30">
        <v>47190</v>
      </c>
      <c r="F95" s="30">
        <v>5539</v>
      </c>
      <c r="G95" s="30">
        <v>10</v>
      </c>
      <c r="H95" s="30">
        <v>24545</v>
      </c>
      <c r="I95" s="30">
        <v>5093</v>
      </c>
    </row>
    <row r="96" spans="1:9" x14ac:dyDescent="0.35">
      <c r="A96" s="30">
        <v>95</v>
      </c>
      <c r="B96" s="30">
        <v>2025</v>
      </c>
      <c r="C96" s="30">
        <v>1745</v>
      </c>
      <c r="D96" s="30">
        <v>3841</v>
      </c>
      <c r="E96" s="30">
        <v>18419</v>
      </c>
      <c r="F96" s="30">
        <v>36873</v>
      </c>
      <c r="G96" s="30">
        <v>7</v>
      </c>
      <c r="H96" s="30">
        <v>263387</v>
      </c>
      <c r="I96" s="30">
        <v>2066</v>
      </c>
    </row>
    <row r="97" spans="1:9" x14ac:dyDescent="0.35">
      <c r="A97" s="30">
        <v>96</v>
      </c>
      <c r="B97" s="30">
        <v>2025</v>
      </c>
      <c r="C97" s="30">
        <v>841</v>
      </c>
      <c r="D97" s="30">
        <v>3738</v>
      </c>
      <c r="E97" s="30">
        <v>47926</v>
      </c>
      <c r="F97" s="30">
        <v>49413</v>
      </c>
      <c r="G97" s="30">
        <v>91</v>
      </c>
      <c r="H97" s="30">
        <v>264545</v>
      </c>
      <c r="I97" s="30">
        <v>6644</v>
      </c>
    </row>
    <row r="98" spans="1:9" x14ac:dyDescent="0.35">
      <c r="A98" s="30">
        <v>97</v>
      </c>
      <c r="B98" s="30">
        <v>2025</v>
      </c>
      <c r="C98" s="30">
        <v>145</v>
      </c>
      <c r="D98" s="30">
        <v>2721</v>
      </c>
      <c r="E98" s="30">
        <v>7239</v>
      </c>
      <c r="F98" s="30">
        <v>30781</v>
      </c>
      <c r="G98" s="30">
        <v>7</v>
      </c>
      <c r="H98" s="30">
        <v>77137</v>
      </c>
      <c r="I98" s="30">
        <v>2120</v>
      </c>
    </row>
    <row r="99" spans="1:9" x14ac:dyDescent="0.35">
      <c r="A99" s="30">
        <v>98</v>
      </c>
      <c r="B99" s="30">
        <v>2025</v>
      </c>
      <c r="C99" s="30">
        <v>3489</v>
      </c>
      <c r="D99" s="30">
        <v>3527</v>
      </c>
      <c r="E99" s="30">
        <v>35029</v>
      </c>
      <c r="F99" s="30">
        <v>43511</v>
      </c>
      <c r="G99" s="30">
        <v>52</v>
      </c>
      <c r="H99" s="30">
        <v>51010</v>
      </c>
      <c r="I99" s="30">
        <v>186</v>
      </c>
    </row>
    <row r="100" spans="1:9" x14ac:dyDescent="0.35">
      <c r="A100" s="30">
        <v>99</v>
      </c>
      <c r="B100" s="30">
        <v>2025</v>
      </c>
      <c r="C100" s="30">
        <v>3671</v>
      </c>
      <c r="D100" s="30">
        <v>2519</v>
      </c>
      <c r="E100" s="30">
        <v>28508</v>
      </c>
      <c r="F100" s="30">
        <v>6906</v>
      </c>
      <c r="G100" s="30">
        <v>73</v>
      </c>
      <c r="H100" s="30">
        <v>241912</v>
      </c>
      <c r="I100" s="30">
        <v>13025</v>
      </c>
    </row>
    <row r="101" spans="1:9" x14ac:dyDescent="0.35">
      <c r="A101" s="30">
        <v>100</v>
      </c>
      <c r="B101" s="30">
        <v>2025</v>
      </c>
      <c r="C101" s="30">
        <v>7855</v>
      </c>
      <c r="D101" s="30">
        <v>2503</v>
      </c>
      <c r="E101" s="30">
        <v>40862</v>
      </c>
      <c r="F101" s="30">
        <v>74356</v>
      </c>
      <c r="G101" s="30">
        <v>43</v>
      </c>
      <c r="H101" s="30">
        <v>203148</v>
      </c>
      <c r="I101" s="30">
        <v>4905</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01"/>
  <sheetViews>
    <sheetView workbookViewId="0">
      <selection activeCell="I6" sqref="I6"/>
    </sheetView>
  </sheetViews>
  <sheetFormatPr defaultRowHeight="14.5" x14ac:dyDescent="0.35"/>
  <cols>
    <col min="1" max="1" width="11" bestFit="1" customWidth="1"/>
    <col min="2" max="2" width="14.1796875" customWidth="1"/>
    <col min="3" max="3" width="19.1796875" bestFit="1" customWidth="1"/>
    <col min="4" max="4" width="18.453125" bestFit="1" customWidth="1"/>
    <col min="5" max="5" width="13.1796875" bestFit="1" customWidth="1"/>
    <col min="6" max="6" width="10.453125" bestFit="1" customWidth="1"/>
    <col min="7" max="7" width="14" bestFit="1" customWidth="1"/>
    <col min="11" max="11" width="12.54296875" customWidth="1"/>
  </cols>
  <sheetData>
    <row r="1" spans="1:7" x14ac:dyDescent="0.35">
      <c r="A1" s="29" t="s">
        <v>0</v>
      </c>
      <c r="B1" s="29" t="s">
        <v>1</v>
      </c>
      <c r="C1" s="29" t="s">
        <v>139</v>
      </c>
      <c r="D1" s="29" t="s">
        <v>140</v>
      </c>
      <c r="E1" s="29" t="s">
        <v>141</v>
      </c>
      <c r="F1" s="29" t="s">
        <v>142</v>
      </c>
      <c r="G1" s="29" t="s">
        <v>143</v>
      </c>
    </row>
    <row r="2" spans="1:7" x14ac:dyDescent="0.35">
      <c r="A2" s="31">
        <v>1</v>
      </c>
      <c r="B2" s="30" t="s">
        <v>13</v>
      </c>
      <c r="C2" s="30">
        <v>44</v>
      </c>
      <c r="D2" s="30">
        <v>35</v>
      </c>
      <c r="E2" s="30">
        <v>40</v>
      </c>
      <c r="F2" s="30">
        <v>18.8</v>
      </c>
      <c r="G2" s="30">
        <v>21</v>
      </c>
    </row>
    <row r="3" spans="1:7" x14ac:dyDescent="0.35">
      <c r="A3" s="30">
        <v>2</v>
      </c>
      <c r="B3" s="30" t="s">
        <v>18</v>
      </c>
      <c r="C3" s="30">
        <v>16</v>
      </c>
      <c r="D3" s="30">
        <v>55</v>
      </c>
      <c r="E3" s="30">
        <v>12</v>
      </c>
      <c r="F3" s="30">
        <v>21</v>
      </c>
      <c r="G3" s="30">
        <v>17</v>
      </c>
    </row>
    <row r="4" spans="1:7" x14ac:dyDescent="0.35">
      <c r="A4" s="30">
        <v>3</v>
      </c>
      <c r="B4" s="30" t="s">
        <v>21</v>
      </c>
      <c r="C4" s="30">
        <v>57</v>
      </c>
      <c r="D4" s="30">
        <v>33</v>
      </c>
      <c r="E4" s="30">
        <v>12</v>
      </c>
      <c r="F4" s="30">
        <v>2.9</v>
      </c>
      <c r="G4" s="30">
        <v>21</v>
      </c>
    </row>
    <row r="5" spans="1:7" x14ac:dyDescent="0.35">
      <c r="A5" s="30">
        <v>4</v>
      </c>
      <c r="B5" s="30" t="s">
        <v>24</v>
      </c>
      <c r="C5" s="30">
        <v>43</v>
      </c>
      <c r="D5" s="30">
        <v>57</v>
      </c>
      <c r="E5" s="30">
        <v>6</v>
      </c>
      <c r="F5" s="30">
        <v>15.5</v>
      </c>
      <c r="G5" s="30">
        <v>14</v>
      </c>
    </row>
    <row r="6" spans="1:7" x14ac:dyDescent="0.35">
      <c r="A6" s="30">
        <v>5</v>
      </c>
      <c r="B6" s="30" t="s">
        <v>27</v>
      </c>
      <c r="C6" s="30">
        <v>14</v>
      </c>
      <c r="D6" s="30">
        <v>42</v>
      </c>
      <c r="E6" s="30">
        <v>45</v>
      </c>
      <c r="F6" s="30">
        <v>4.2</v>
      </c>
      <c r="G6" s="30">
        <v>12</v>
      </c>
    </row>
    <row r="7" spans="1:7" x14ac:dyDescent="0.35">
      <c r="A7" s="30">
        <v>6</v>
      </c>
      <c r="B7" s="30" t="s">
        <v>29</v>
      </c>
      <c r="C7" s="30">
        <v>17</v>
      </c>
      <c r="D7" s="30">
        <v>70</v>
      </c>
      <c r="E7" s="30">
        <v>16</v>
      </c>
      <c r="F7" s="30">
        <v>7.9</v>
      </c>
      <c r="G7" s="30">
        <v>23</v>
      </c>
    </row>
    <row r="8" spans="1:7" x14ac:dyDescent="0.35">
      <c r="A8" s="30">
        <v>7</v>
      </c>
      <c r="B8" s="30" t="s">
        <v>32</v>
      </c>
      <c r="C8" s="30">
        <v>27</v>
      </c>
      <c r="D8" s="30">
        <v>46</v>
      </c>
      <c r="E8" s="30">
        <v>45</v>
      </c>
      <c r="F8" s="30">
        <v>4.7</v>
      </c>
      <c r="G8" s="30">
        <v>19</v>
      </c>
    </row>
    <row r="9" spans="1:7" x14ac:dyDescent="0.35">
      <c r="A9" s="30">
        <v>8</v>
      </c>
      <c r="B9" s="30" t="s">
        <v>33</v>
      </c>
      <c r="C9" s="30">
        <v>26</v>
      </c>
      <c r="D9" s="30">
        <v>55</v>
      </c>
      <c r="E9" s="30">
        <v>58</v>
      </c>
      <c r="F9" s="30">
        <v>20.5</v>
      </c>
      <c r="G9" s="30">
        <v>13</v>
      </c>
    </row>
    <row r="10" spans="1:7" x14ac:dyDescent="0.35">
      <c r="A10" s="30">
        <v>9</v>
      </c>
      <c r="B10" s="30" t="s">
        <v>34</v>
      </c>
      <c r="C10" s="30">
        <v>56</v>
      </c>
      <c r="D10" s="30">
        <v>53</v>
      </c>
      <c r="E10" s="30">
        <v>56</v>
      </c>
      <c r="F10" s="30">
        <v>21.4</v>
      </c>
      <c r="G10" s="30">
        <v>18</v>
      </c>
    </row>
    <row r="11" spans="1:7" x14ac:dyDescent="0.35">
      <c r="A11" s="30">
        <v>10</v>
      </c>
      <c r="B11" s="30" t="s">
        <v>37</v>
      </c>
      <c r="C11" s="30">
        <v>14</v>
      </c>
      <c r="D11" s="30">
        <v>28</v>
      </c>
      <c r="E11" s="30">
        <v>5</v>
      </c>
      <c r="F11" s="30">
        <v>17.899999999999999</v>
      </c>
      <c r="G11" s="30">
        <v>19</v>
      </c>
    </row>
    <row r="12" spans="1:7" x14ac:dyDescent="0.35">
      <c r="A12" s="30">
        <v>11</v>
      </c>
      <c r="B12" s="30" t="s">
        <v>39</v>
      </c>
      <c r="C12" s="30">
        <v>53</v>
      </c>
      <c r="D12" s="30">
        <v>46</v>
      </c>
      <c r="E12" s="30">
        <v>60</v>
      </c>
      <c r="F12" s="30">
        <v>4.8</v>
      </c>
      <c r="G12" s="30">
        <v>1</v>
      </c>
    </row>
    <row r="13" spans="1:7" x14ac:dyDescent="0.35">
      <c r="A13" s="30">
        <v>12</v>
      </c>
      <c r="B13" s="30" t="s">
        <v>41</v>
      </c>
      <c r="C13" s="30">
        <v>26</v>
      </c>
      <c r="D13" s="30">
        <v>51</v>
      </c>
      <c r="E13" s="30">
        <v>49</v>
      </c>
      <c r="F13" s="30">
        <v>12.4</v>
      </c>
      <c r="G13" s="30">
        <v>14</v>
      </c>
    </row>
    <row r="14" spans="1:7" x14ac:dyDescent="0.35">
      <c r="A14" s="30">
        <v>13</v>
      </c>
      <c r="B14" s="30" t="s">
        <v>44</v>
      </c>
      <c r="C14" s="30">
        <v>17</v>
      </c>
      <c r="D14" s="30">
        <v>69</v>
      </c>
      <c r="E14" s="30">
        <v>27</v>
      </c>
      <c r="F14" s="30">
        <v>5.6</v>
      </c>
      <c r="G14" s="30">
        <v>23</v>
      </c>
    </row>
    <row r="15" spans="1:7" x14ac:dyDescent="0.35">
      <c r="A15" s="30">
        <v>14</v>
      </c>
      <c r="B15" s="30" t="s">
        <v>45</v>
      </c>
      <c r="C15" s="30">
        <v>28</v>
      </c>
      <c r="D15" s="30">
        <v>46</v>
      </c>
      <c r="E15" s="30">
        <v>43</v>
      </c>
      <c r="F15" s="30">
        <v>4.7</v>
      </c>
      <c r="G15" s="30">
        <v>13</v>
      </c>
    </row>
    <row r="16" spans="1:7" x14ac:dyDescent="0.35">
      <c r="A16" s="30">
        <v>15</v>
      </c>
      <c r="B16" s="30" t="s">
        <v>46</v>
      </c>
      <c r="C16" s="30">
        <v>30</v>
      </c>
      <c r="D16" s="30">
        <v>49</v>
      </c>
      <c r="E16" s="30">
        <v>9</v>
      </c>
      <c r="F16" s="30">
        <v>21.7</v>
      </c>
      <c r="G16" s="30">
        <v>19</v>
      </c>
    </row>
    <row r="17" spans="1:7" x14ac:dyDescent="0.35">
      <c r="A17" s="30">
        <v>16</v>
      </c>
      <c r="B17" s="30" t="s">
        <v>47</v>
      </c>
      <c r="C17" s="30">
        <v>12</v>
      </c>
      <c r="D17" s="30">
        <v>59</v>
      </c>
      <c r="E17" s="30">
        <v>42</v>
      </c>
      <c r="F17" s="30">
        <v>6.3</v>
      </c>
      <c r="G17" s="30">
        <v>8</v>
      </c>
    </row>
    <row r="18" spans="1:7" x14ac:dyDescent="0.35">
      <c r="A18" s="30">
        <v>17</v>
      </c>
      <c r="B18" s="30" t="s">
        <v>48</v>
      </c>
      <c r="C18" s="30">
        <v>54</v>
      </c>
      <c r="D18" s="30">
        <v>56</v>
      </c>
      <c r="E18" s="30">
        <v>37</v>
      </c>
      <c r="F18" s="30">
        <v>5</v>
      </c>
      <c r="G18" s="30">
        <v>23</v>
      </c>
    </row>
    <row r="19" spans="1:7" x14ac:dyDescent="0.35">
      <c r="A19" s="30">
        <v>18</v>
      </c>
      <c r="B19" s="30" t="s">
        <v>49</v>
      </c>
      <c r="C19" s="30">
        <v>45</v>
      </c>
      <c r="D19" s="30">
        <v>50</v>
      </c>
      <c r="E19" s="30">
        <v>38</v>
      </c>
      <c r="F19" s="30">
        <v>11.3</v>
      </c>
      <c r="G19" s="30">
        <v>5</v>
      </c>
    </row>
    <row r="20" spans="1:7" x14ac:dyDescent="0.35">
      <c r="A20" s="30">
        <v>19</v>
      </c>
      <c r="B20" s="30" t="s">
        <v>50</v>
      </c>
      <c r="C20" s="30">
        <v>18</v>
      </c>
      <c r="D20" s="30">
        <v>68</v>
      </c>
      <c r="E20" s="30">
        <v>44</v>
      </c>
      <c r="F20" s="30">
        <v>13</v>
      </c>
      <c r="G20" s="30">
        <v>9</v>
      </c>
    </row>
    <row r="21" spans="1:7" x14ac:dyDescent="0.35">
      <c r="A21" s="30">
        <v>20</v>
      </c>
      <c r="B21" s="30" t="s">
        <v>51</v>
      </c>
      <c r="C21" s="30">
        <v>40</v>
      </c>
      <c r="D21" s="30">
        <v>62</v>
      </c>
      <c r="E21" s="30">
        <v>15</v>
      </c>
      <c r="F21" s="30">
        <v>2.9</v>
      </c>
      <c r="G21" s="30">
        <v>9</v>
      </c>
    </row>
    <row r="22" spans="1:7" x14ac:dyDescent="0.35">
      <c r="A22" s="30">
        <v>21</v>
      </c>
      <c r="B22" s="30" t="s">
        <v>52</v>
      </c>
      <c r="C22" s="30">
        <v>26</v>
      </c>
      <c r="D22" s="30">
        <v>39</v>
      </c>
      <c r="E22" s="30">
        <v>56</v>
      </c>
      <c r="F22" s="30">
        <v>22.8</v>
      </c>
      <c r="G22" s="30">
        <v>8</v>
      </c>
    </row>
    <row r="23" spans="1:7" x14ac:dyDescent="0.35">
      <c r="A23" s="30">
        <v>22</v>
      </c>
      <c r="B23" s="30" t="s">
        <v>53</v>
      </c>
      <c r="C23" s="30">
        <v>48</v>
      </c>
      <c r="D23" s="30">
        <v>21</v>
      </c>
      <c r="E23" s="30">
        <v>41</v>
      </c>
      <c r="F23" s="30">
        <v>15.1</v>
      </c>
      <c r="G23" s="30">
        <v>5</v>
      </c>
    </row>
    <row r="24" spans="1:7" x14ac:dyDescent="0.35">
      <c r="A24" s="30">
        <v>23</v>
      </c>
      <c r="B24" s="30" t="s">
        <v>54</v>
      </c>
      <c r="C24" s="30">
        <v>54</v>
      </c>
      <c r="D24" s="30">
        <v>44</v>
      </c>
      <c r="E24" s="30">
        <v>24</v>
      </c>
      <c r="F24" s="30">
        <v>7.2</v>
      </c>
      <c r="G24" s="30">
        <v>4</v>
      </c>
    </row>
    <row r="25" spans="1:7" x14ac:dyDescent="0.35">
      <c r="A25" s="30">
        <v>24</v>
      </c>
      <c r="B25" s="30" t="s">
        <v>55</v>
      </c>
      <c r="C25" s="30">
        <v>35</v>
      </c>
      <c r="D25" s="30">
        <v>32</v>
      </c>
      <c r="E25" s="30">
        <v>58</v>
      </c>
      <c r="F25" s="30">
        <v>13.6</v>
      </c>
      <c r="G25" s="30">
        <v>14</v>
      </c>
    </row>
    <row r="26" spans="1:7" x14ac:dyDescent="0.35">
      <c r="A26" s="30">
        <v>25</v>
      </c>
      <c r="B26" s="30" t="s">
        <v>56</v>
      </c>
      <c r="C26" s="30">
        <v>14</v>
      </c>
      <c r="D26" s="30">
        <v>21</v>
      </c>
      <c r="E26" s="30">
        <v>9</v>
      </c>
      <c r="F26" s="30">
        <v>5.8</v>
      </c>
      <c r="G26" s="30">
        <v>18</v>
      </c>
    </row>
    <row r="27" spans="1:7" x14ac:dyDescent="0.35">
      <c r="A27" s="30">
        <v>26</v>
      </c>
      <c r="B27" s="30" t="s">
        <v>57</v>
      </c>
      <c r="C27" s="30">
        <v>56</v>
      </c>
      <c r="D27" s="30">
        <v>40</v>
      </c>
      <c r="E27" s="30">
        <v>51</v>
      </c>
      <c r="F27" s="30">
        <v>11.9</v>
      </c>
      <c r="G27" s="30">
        <v>6</v>
      </c>
    </row>
    <row r="28" spans="1:7" x14ac:dyDescent="0.35">
      <c r="A28" s="30">
        <v>27</v>
      </c>
      <c r="B28" s="30" t="s">
        <v>58</v>
      </c>
      <c r="C28" s="30">
        <v>12</v>
      </c>
      <c r="D28" s="30">
        <v>61</v>
      </c>
      <c r="E28" s="30">
        <v>6</v>
      </c>
      <c r="F28" s="30">
        <v>13.2</v>
      </c>
      <c r="G28" s="30">
        <v>12</v>
      </c>
    </row>
    <row r="29" spans="1:7" x14ac:dyDescent="0.35">
      <c r="A29" s="30">
        <v>28</v>
      </c>
      <c r="B29" s="30" t="s">
        <v>59</v>
      </c>
      <c r="C29" s="30">
        <v>22</v>
      </c>
      <c r="D29" s="30">
        <v>34</v>
      </c>
      <c r="E29" s="30">
        <v>29</v>
      </c>
      <c r="F29" s="30">
        <v>8</v>
      </c>
      <c r="G29" s="30">
        <v>7</v>
      </c>
    </row>
    <row r="30" spans="1:7" x14ac:dyDescent="0.35">
      <c r="A30" s="30">
        <v>29</v>
      </c>
      <c r="B30" s="30" t="s">
        <v>60</v>
      </c>
      <c r="C30" s="30">
        <v>40</v>
      </c>
      <c r="D30" s="30">
        <v>36</v>
      </c>
      <c r="E30" s="30">
        <v>7</v>
      </c>
      <c r="F30" s="30">
        <v>13.6</v>
      </c>
      <c r="G30" s="30">
        <v>24</v>
      </c>
    </row>
    <row r="31" spans="1:7" x14ac:dyDescent="0.35">
      <c r="A31" s="30">
        <v>30</v>
      </c>
      <c r="B31" s="30" t="s">
        <v>61</v>
      </c>
      <c r="C31" s="30">
        <v>22</v>
      </c>
      <c r="D31" s="30">
        <v>39</v>
      </c>
      <c r="E31" s="30">
        <v>10</v>
      </c>
      <c r="F31" s="30">
        <v>20.5</v>
      </c>
      <c r="G31" s="30">
        <v>14</v>
      </c>
    </row>
    <row r="32" spans="1:7" x14ac:dyDescent="0.35">
      <c r="A32" s="30">
        <v>31</v>
      </c>
      <c r="B32" s="30" t="s">
        <v>62</v>
      </c>
      <c r="C32" s="30">
        <v>25</v>
      </c>
      <c r="D32" s="30">
        <v>34</v>
      </c>
      <c r="E32" s="30">
        <v>45</v>
      </c>
      <c r="F32" s="30">
        <v>12.6</v>
      </c>
      <c r="G32" s="30">
        <v>14</v>
      </c>
    </row>
    <row r="33" spans="1:7" x14ac:dyDescent="0.35">
      <c r="A33" s="30">
        <v>32</v>
      </c>
      <c r="B33" s="30" t="s">
        <v>63</v>
      </c>
      <c r="C33" s="30">
        <v>48</v>
      </c>
      <c r="D33" s="30">
        <v>48</v>
      </c>
      <c r="E33" s="30">
        <v>38</v>
      </c>
      <c r="F33" s="30">
        <v>5.5</v>
      </c>
      <c r="G33" s="30">
        <v>15</v>
      </c>
    </row>
    <row r="34" spans="1:7" x14ac:dyDescent="0.35">
      <c r="A34" s="30">
        <v>33</v>
      </c>
      <c r="B34" s="30" t="s">
        <v>64</v>
      </c>
      <c r="C34" s="30">
        <v>28</v>
      </c>
      <c r="D34" s="30">
        <v>67</v>
      </c>
      <c r="E34" s="30">
        <v>34</v>
      </c>
      <c r="F34" s="30">
        <v>3.2</v>
      </c>
      <c r="G34" s="30">
        <v>3</v>
      </c>
    </row>
    <row r="35" spans="1:7" x14ac:dyDescent="0.35">
      <c r="A35" s="30">
        <v>34</v>
      </c>
      <c r="B35" s="30" t="s">
        <v>65</v>
      </c>
      <c r="C35" s="30">
        <v>21</v>
      </c>
      <c r="D35" s="30">
        <v>28</v>
      </c>
      <c r="E35" s="30">
        <v>42</v>
      </c>
      <c r="F35" s="30">
        <v>2.9</v>
      </c>
      <c r="G35" s="30">
        <v>22</v>
      </c>
    </row>
    <row r="36" spans="1:7" x14ac:dyDescent="0.35">
      <c r="A36" s="30">
        <v>35</v>
      </c>
      <c r="B36" s="30" t="s">
        <v>66</v>
      </c>
      <c r="C36" s="30">
        <v>23</v>
      </c>
      <c r="D36" s="30">
        <v>43</v>
      </c>
      <c r="E36" s="30">
        <v>26</v>
      </c>
      <c r="F36" s="30">
        <v>22.5</v>
      </c>
      <c r="G36" s="30">
        <v>9</v>
      </c>
    </row>
    <row r="37" spans="1:7" x14ac:dyDescent="0.35">
      <c r="A37" s="30">
        <v>36</v>
      </c>
      <c r="B37" s="30" t="s">
        <v>67</v>
      </c>
      <c r="C37" s="30">
        <v>59</v>
      </c>
      <c r="D37" s="30">
        <v>57</v>
      </c>
      <c r="E37" s="30">
        <v>39</v>
      </c>
      <c r="F37" s="30">
        <v>16.3</v>
      </c>
      <c r="G37" s="30">
        <v>6</v>
      </c>
    </row>
    <row r="38" spans="1:7" x14ac:dyDescent="0.35">
      <c r="A38" s="30">
        <v>37</v>
      </c>
      <c r="B38" s="30" t="s">
        <v>68</v>
      </c>
      <c r="C38" s="30">
        <v>21</v>
      </c>
      <c r="D38" s="30">
        <v>53</v>
      </c>
      <c r="E38" s="30">
        <v>52</v>
      </c>
      <c r="F38" s="30">
        <v>23.3</v>
      </c>
      <c r="G38" s="30">
        <v>15</v>
      </c>
    </row>
    <row r="39" spans="1:7" x14ac:dyDescent="0.35">
      <c r="A39" s="30">
        <v>38</v>
      </c>
      <c r="B39" s="30" t="s">
        <v>69</v>
      </c>
      <c r="C39" s="30">
        <v>38</v>
      </c>
      <c r="D39" s="30">
        <v>65</v>
      </c>
      <c r="E39" s="30">
        <v>20</v>
      </c>
      <c r="F39" s="30">
        <v>5.2</v>
      </c>
      <c r="G39" s="30">
        <v>18</v>
      </c>
    </row>
    <row r="40" spans="1:7" x14ac:dyDescent="0.35">
      <c r="A40" s="30">
        <v>39</v>
      </c>
      <c r="B40" s="30" t="s">
        <v>70</v>
      </c>
      <c r="C40" s="30">
        <v>21</v>
      </c>
      <c r="D40" s="30">
        <v>33</v>
      </c>
      <c r="E40" s="30">
        <v>35</v>
      </c>
      <c r="F40" s="30">
        <v>5.5</v>
      </c>
      <c r="G40" s="30">
        <v>18</v>
      </c>
    </row>
    <row r="41" spans="1:7" x14ac:dyDescent="0.35">
      <c r="A41" s="30">
        <v>40</v>
      </c>
      <c r="B41" s="30" t="s">
        <v>71</v>
      </c>
      <c r="C41" s="30">
        <v>50</v>
      </c>
      <c r="D41" s="30">
        <v>22</v>
      </c>
      <c r="E41" s="30">
        <v>45</v>
      </c>
      <c r="F41" s="30">
        <v>4.2</v>
      </c>
      <c r="G41" s="30">
        <v>5</v>
      </c>
    </row>
    <row r="42" spans="1:7" x14ac:dyDescent="0.35">
      <c r="A42" s="30">
        <v>41</v>
      </c>
      <c r="B42" s="30" t="s">
        <v>72</v>
      </c>
      <c r="C42" s="30">
        <v>36</v>
      </c>
      <c r="D42" s="30">
        <v>63</v>
      </c>
      <c r="E42" s="30">
        <v>50</v>
      </c>
      <c r="F42" s="30">
        <v>13</v>
      </c>
      <c r="G42" s="30">
        <v>9</v>
      </c>
    </row>
    <row r="43" spans="1:7" x14ac:dyDescent="0.35">
      <c r="A43" s="30">
        <v>42</v>
      </c>
      <c r="B43" s="30" t="s">
        <v>73</v>
      </c>
      <c r="C43" s="30">
        <v>57</v>
      </c>
      <c r="D43" s="30">
        <v>48</v>
      </c>
      <c r="E43" s="30">
        <v>27</v>
      </c>
      <c r="F43" s="30">
        <v>8</v>
      </c>
      <c r="G43" s="30">
        <v>16</v>
      </c>
    </row>
    <row r="44" spans="1:7" x14ac:dyDescent="0.35">
      <c r="A44" s="30">
        <v>43</v>
      </c>
      <c r="B44" s="30" t="s">
        <v>74</v>
      </c>
      <c r="C44" s="30">
        <v>40</v>
      </c>
      <c r="D44" s="30">
        <v>33</v>
      </c>
      <c r="E44" s="30">
        <v>22</v>
      </c>
      <c r="F44" s="30">
        <v>5.7</v>
      </c>
      <c r="G44" s="30">
        <v>15</v>
      </c>
    </row>
    <row r="45" spans="1:7" x14ac:dyDescent="0.35">
      <c r="A45" s="30">
        <v>44</v>
      </c>
      <c r="B45" s="30" t="s">
        <v>75</v>
      </c>
      <c r="C45" s="30">
        <v>13</v>
      </c>
      <c r="D45" s="30">
        <v>37</v>
      </c>
      <c r="E45" s="30">
        <v>34</v>
      </c>
      <c r="F45" s="30">
        <v>24.4</v>
      </c>
      <c r="G45" s="30">
        <v>25</v>
      </c>
    </row>
    <row r="46" spans="1:7" x14ac:dyDescent="0.35">
      <c r="A46" s="30">
        <v>45</v>
      </c>
      <c r="B46" s="30" t="s">
        <v>76</v>
      </c>
      <c r="C46" s="30">
        <v>48</v>
      </c>
      <c r="D46" s="30">
        <v>59</v>
      </c>
      <c r="E46" s="30">
        <v>51</v>
      </c>
      <c r="F46" s="30">
        <v>23.8</v>
      </c>
      <c r="G46" s="30">
        <v>4</v>
      </c>
    </row>
    <row r="47" spans="1:7" x14ac:dyDescent="0.35">
      <c r="A47" s="30">
        <v>46</v>
      </c>
      <c r="B47" s="30" t="s">
        <v>77</v>
      </c>
      <c r="C47" s="30">
        <v>25</v>
      </c>
      <c r="D47" s="30">
        <v>29</v>
      </c>
      <c r="E47" s="30">
        <v>6</v>
      </c>
      <c r="F47" s="30">
        <v>21.7</v>
      </c>
      <c r="G47" s="30">
        <v>6</v>
      </c>
    </row>
    <row r="48" spans="1:7" x14ac:dyDescent="0.35">
      <c r="A48" s="30">
        <v>47</v>
      </c>
      <c r="B48" s="30" t="s">
        <v>78</v>
      </c>
      <c r="C48" s="30">
        <v>49</v>
      </c>
      <c r="D48" s="30">
        <v>20</v>
      </c>
      <c r="E48" s="30">
        <v>57</v>
      </c>
      <c r="F48" s="30">
        <v>23.5</v>
      </c>
      <c r="G48" s="30">
        <v>12</v>
      </c>
    </row>
    <row r="49" spans="1:7" x14ac:dyDescent="0.35">
      <c r="A49" s="30">
        <v>48</v>
      </c>
      <c r="B49" s="30" t="s">
        <v>79</v>
      </c>
      <c r="C49" s="30">
        <v>28</v>
      </c>
      <c r="D49" s="30">
        <v>32</v>
      </c>
      <c r="E49" s="30">
        <v>8</v>
      </c>
      <c r="F49" s="30">
        <v>15.6</v>
      </c>
      <c r="G49" s="30">
        <v>6</v>
      </c>
    </row>
    <row r="50" spans="1:7" x14ac:dyDescent="0.35">
      <c r="A50" s="30">
        <v>49</v>
      </c>
      <c r="B50" s="30" t="s">
        <v>80</v>
      </c>
      <c r="C50" s="30">
        <v>28</v>
      </c>
      <c r="D50" s="30">
        <v>29</v>
      </c>
      <c r="E50" s="30">
        <v>8</v>
      </c>
      <c r="F50" s="30">
        <v>24.4</v>
      </c>
      <c r="G50" s="30">
        <v>11</v>
      </c>
    </row>
    <row r="51" spans="1:7" x14ac:dyDescent="0.35">
      <c r="A51" s="30">
        <v>50</v>
      </c>
      <c r="B51" s="30" t="s">
        <v>81</v>
      </c>
      <c r="C51" s="30">
        <v>16</v>
      </c>
      <c r="D51" s="30">
        <v>26</v>
      </c>
      <c r="E51" s="30">
        <v>35</v>
      </c>
      <c r="F51" s="30">
        <v>23.3</v>
      </c>
      <c r="G51" s="30">
        <v>15</v>
      </c>
    </row>
    <row r="52" spans="1:7" x14ac:dyDescent="0.35">
      <c r="A52" s="30">
        <v>51</v>
      </c>
      <c r="B52" s="30" t="s">
        <v>82</v>
      </c>
      <c r="C52" s="30">
        <v>15</v>
      </c>
      <c r="D52" s="30">
        <v>70</v>
      </c>
      <c r="E52" s="30">
        <v>13</v>
      </c>
      <c r="F52" s="30">
        <v>20.7</v>
      </c>
      <c r="G52" s="30">
        <v>11</v>
      </c>
    </row>
    <row r="53" spans="1:7" x14ac:dyDescent="0.35">
      <c r="A53" s="30">
        <v>52</v>
      </c>
      <c r="B53" s="30" t="s">
        <v>83</v>
      </c>
      <c r="C53" s="30">
        <v>19</v>
      </c>
      <c r="D53" s="30">
        <v>41</v>
      </c>
      <c r="E53" s="30">
        <v>16</v>
      </c>
      <c r="F53" s="30">
        <v>11.4</v>
      </c>
      <c r="G53" s="30">
        <v>1</v>
      </c>
    </row>
    <row r="54" spans="1:7" x14ac:dyDescent="0.35">
      <c r="A54" s="30">
        <v>53</v>
      </c>
      <c r="B54" s="30" t="s">
        <v>84</v>
      </c>
      <c r="C54" s="30">
        <v>54</v>
      </c>
      <c r="D54" s="30">
        <v>40</v>
      </c>
      <c r="E54" s="30">
        <v>47</v>
      </c>
      <c r="F54" s="30">
        <v>19.8</v>
      </c>
      <c r="G54" s="30">
        <v>15</v>
      </c>
    </row>
    <row r="55" spans="1:7" x14ac:dyDescent="0.35">
      <c r="A55" s="30">
        <v>54</v>
      </c>
      <c r="B55" s="30" t="s">
        <v>85</v>
      </c>
      <c r="C55" s="30">
        <v>56</v>
      </c>
      <c r="D55" s="30">
        <v>33</v>
      </c>
      <c r="E55" s="30">
        <v>60</v>
      </c>
      <c r="F55" s="30">
        <v>15.4</v>
      </c>
      <c r="G55" s="30">
        <v>25</v>
      </c>
    </row>
    <row r="56" spans="1:7" x14ac:dyDescent="0.35">
      <c r="A56" s="30">
        <v>55</v>
      </c>
      <c r="B56" s="30" t="s">
        <v>86</v>
      </c>
      <c r="C56" s="30">
        <v>54</v>
      </c>
      <c r="D56" s="30">
        <v>26</v>
      </c>
      <c r="E56" s="30">
        <v>50</v>
      </c>
      <c r="F56" s="30">
        <v>23.2</v>
      </c>
      <c r="G56" s="30">
        <v>11</v>
      </c>
    </row>
    <row r="57" spans="1:7" x14ac:dyDescent="0.35">
      <c r="A57" s="30">
        <v>56</v>
      </c>
      <c r="B57" s="30" t="s">
        <v>87</v>
      </c>
      <c r="C57" s="30">
        <v>27</v>
      </c>
      <c r="D57" s="30">
        <v>59</v>
      </c>
      <c r="E57" s="30">
        <v>13</v>
      </c>
      <c r="F57" s="30">
        <v>15.9</v>
      </c>
      <c r="G57" s="30">
        <v>22</v>
      </c>
    </row>
    <row r="58" spans="1:7" x14ac:dyDescent="0.35">
      <c r="A58" s="30">
        <v>57</v>
      </c>
      <c r="B58" s="30" t="s">
        <v>88</v>
      </c>
      <c r="C58" s="30">
        <v>29</v>
      </c>
      <c r="D58" s="30">
        <v>32</v>
      </c>
      <c r="E58" s="30">
        <v>56</v>
      </c>
      <c r="F58" s="30">
        <v>20.5</v>
      </c>
      <c r="G58" s="30">
        <v>14</v>
      </c>
    </row>
    <row r="59" spans="1:7" x14ac:dyDescent="0.35">
      <c r="A59" s="30">
        <v>58</v>
      </c>
      <c r="B59" s="30" t="s">
        <v>89</v>
      </c>
      <c r="C59" s="30">
        <v>10</v>
      </c>
      <c r="D59" s="30">
        <v>21</v>
      </c>
      <c r="E59" s="30">
        <v>44</v>
      </c>
      <c r="F59" s="30">
        <v>24.2</v>
      </c>
      <c r="G59" s="30">
        <v>21</v>
      </c>
    </row>
    <row r="60" spans="1:7" x14ac:dyDescent="0.35">
      <c r="A60" s="30">
        <v>59</v>
      </c>
      <c r="B60" s="30" t="s">
        <v>90</v>
      </c>
      <c r="C60" s="30">
        <v>21</v>
      </c>
      <c r="D60" s="30">
        <v>30</v>
      </c>
      <c r="E60" s="30">
        <v>46</v>
      </c>
      <c r="F60" s="30">
        <v>6.2</v>
      </c>
      <c r="G60" s="30">
        <v>25</v>
      </c>
    </row>
    <row r="61" spans="1:7" x14ac:dyDescent="0.35">
      <c r="A61" s="30">
        <v>60</v>
      </c>
      <c r="B61" s="30" t="s">
        <v>91</v>
      </c>
      <c r="C61" s="30">
        <v>35</v>
      </c>
      <c r="D61" s="30">
        <v>49</v>
      </c>
      <c r="E61" s="30">
        <v>49</v>
      </c>
      <c r="F61" s="30">
        <v>2.2000000000000002</v>
      </c>
      <c r="G61" s="30">
        <v>20</v>
      </c>
    </row>
    <row r="62" spans="1:7" x14ac:dyDescent="0.35">
      <c r="A62" s="30">
        <v>61</v>
      </c>
      <c r="B62" s="30" t="s">
        <v>92</v>
      </c>
      <c r="C62" s="30">
        <v>12</v>
      </c>
      <c r="D62" s="30">
        <v>20</v>
      </c>
      <c r="E62" s="30">
        <v>22</v>
      </c>
      <c r="F62" s="30">
        <v>13.3</v>
      </c>
      <c r="G62" s="30">
        <v>3</v>
      </c>
    </row>
    <row r="63" spans="1:7" x14ac:dyDescent="0.35">
      <c r="A63" s="30">
        <v>62</v>
      </c>
      <c r="B63" s="30" t="s">
        <v>93</v>
      </c>
      <c r="C63" s="30">
        <v>32</v>
      </c>
      <c r="D63" s="30">
        <v>62</v>
      </c>
      <c r="E63" s="30">
        <v>31</v>
      </c>
      <c r="F63" s="30">
        <v>14.1</v>
      </c>
      <c r="G63" s="30">
        <v>10</v>
      </c>
    </row>
    <row r="64" spans="1:7" x14ac:dyDescent="0.35">
      <c r="A64" s="30">
        <v>63</v>
      </c>
      <c r="B64" s="30" t="s">
        <v>94</v>
      </c>
      <c r="C64" s="30">
        <v>25</v>
      </c>
      <c r="D64" s="30">
        <v>69</v>
      </c>
      <c r="E64" s="30">
        <v>5</v>
      </c>
      <c r="F64" s="30">
        <v>19.600000000000001</v>
      </c>
      <c r="G64" s="30">
        <v>17</v>
      </c>
    </row>
    <row r="65" spans="1:7" x14ac:dyDescent="0.35">
      <c r="A65" s="30">
        <v>64</v>
      </c>
      <c r="B65" s="30" t="s">
        <v>95</v>
      </c>
      <c r="C65" s="30">
        <v>39</v>
      </c>
      <c r="D65" s="30">
        <v>48</v>
      </c>
      <c r="E65" s="30">
        <v>11</v>
      </c>
      <c r="F65" s="30">
        <v>15.6</v>
      </c>
      <c r="G65" s="30">
        <v>3</v>
      </c>
    </row>
    <row r="66" spans="1:7" x14ac:dyDescent="0.35">
      <c r="A66" s="30">
        <v>65</v>
      </c>
      <c r="B66" s="30" t="s">
        <v>96</v>
      </c>
      <c r="C66" s="30">
        <v>25</v>
      </c>
      <c r="D66" s="30">
        <v>68</v>
      </c>
      <c r="E66" s="30">
        <v>38</v>
      </c>
      <c r="F66" s="30">
        <v>16.600000000000001</v>
      </c>
      <c r="G66" s="30">
        <v>6</v>
      </c>
    </row>
    <row r="67" spans="1:7" x14ac:dyDescent="0.35">
      <c r="A67" s="30">
        <v>66</v>
      </c>
      <c r="B67" s="30" t="s">
        <v>97</v>
      </c>
      <c r="C67" s="30">
        <v>23</v>
      </c>
      <c r="D67" s="30">
        <v>45</v>
      </c>
      <c r="E67" s="30">
        <v>57</v>
      </c>
      <c r="F67" s="30">
        <v>20.2</v>
      </c>
      <c r="G67" s="30">
        <v>20</v>
      </c>
    </row>
    <row r="68" spans="1:7" x14ac:dyDescent="0.35">
      <c r="A68" s="30">
        <v>67</v>
      </c>
      <c r="B68" s="30" t="s">
        <v>98</v>
      </c>
      <c r="C68" s="30">
        <v>58</v>
      </c>
      <c r="D68" s="30">
        <v>22</v>
      </c>
      <c r="E68" s="30">
        <v>12</v>
      </c>
      <c r="F68" s="30">
        <v>3.8</v>
      </c>
      <c r="G68" s="30">
        <v>14</v>
      </c>
    </row>
    <row r="69" spans="1:7" x14ac:dyDescent="0.35">
      <c r="A69" s="30">
        <v>68</v>
      </c>
      <c r="B69" s="30" t="s">
        <v>99</v>
      </c>
      <c r="C69" s="30">
        <v>51</v>
      </c>
      <c r="D69" s="30">
        <v>29</v>
      </c>
      <c r="E69" s="30">
        <v>29</v>
      </c>
      <c r="F69" s="30">
        <v>19.7</v>
      </c>
      <c r="G69" s="30">
        <v>4</v>
      </c>
    </row>
    <row r="70" spans="1:7" x14ac:dyDescent="0.35">
      <c r="A70" s="30">
        <v>69</v>
      </c>
      <c r="B70" s="30" t="s">
        <v>100</v>
      </c>
      <c r="C70" s="30">
        <v>50</v>
      </c>
      <c r="D70" s="30">
        <v>68</v>
      </c>
      <c r="E70" s="30">
        <v>16</v>
      </c>
      <c r="F70" s="30">
        <v>8.8000000000000007</v>
      </c>
      <c r="G70" s="30">
        <v>18</v>
      </c>
    </row>
    <row r="71" spans="1:7" x14ac:dyDescent="0.35">
      <c r="A71" s="30">
        <v>70</v>
      </c>
      <c r="B71" s="30" t="s">
        <v>101</v>
      </c>
      <c r="C71" s="30">
        <v>22</v>
      </c>
      <c r="D71" s="30">
        <v>38</v>
      </c>
      <c r="E71" s="30">
        <v>12</v>
      </c>
      <c r="F71" s="30">
        <v>19</v>
      </c>
      <c r="G71" s="30">
        <v>13</v>
      </c>
    </row>
    <row r="72" spans="1:7" x14ac:dyDescent="0.35">
      <c r="A72" s="30">
        <v>71</v>
      </c>
      <c r="B72" s="30" t="s">
        <v>102</v>
      </c>
      <c r="C72" s="30">
        <v>40</v>
      </c>
      <c r="D72" s="30">
        <v>43</v>
      </c>
      <c r="E72" s="30">
        <v>54</v>
      </c>
      <c r="F72" s="30">
        <v>8.9</v>
      </c>
      <c r="G72" s="30">
        <v>6</v>
      </c>
    </row>
    <row r="73" spans="1:7" x14ac:dyDescent="0.35">
      <c r="A73" s="30">
        <v>72</v>
      </c>
      <c r="B73" s="30" t="s">
        <v>103</v>
      </c>
      <c r="C73" s="30">
        <v>37</v>
      </c>
      <c r="D73" s="30">
        <v>41</v>
      </c>
      <c r="E73" s="30">
        <v>29</v>
      </c>
      <c r="F73" s="30">
        <v>6.5</v>
      </c>
      <c r="G73" s="30">
        <v>16</v>
      </c>
    </row>
    <row r="74" spans="1:7" x14ac:dyDescent="0.35">
      <c r="A74" s="30">
        <v>73</v>
      </c>
      <c r="B74" s="30" t="s">
        <v>104</v>
      </c>
      <c r="C74" s="30">
        <v>24</v>
      </c>
      <c r="D74" s="30">
        <v>28</v>
      </c>
      <c r="E74" s="30">
        <v>42</v>
      </c>
      <c r="F74" s="30">
        <v>14.1</v>
      </c>
      <c r="G74" s="30">
        <v>15</v>
      </c>
    </row>
    <row r="75" spans="1:7" x14ac:dyDescent="0.35">
      <c r="A75" s="30">
        <v>74</v>
      </c>
      <c r="B75" s="30" t="s">
        <v>105</v>
      </c>
      <c r="C75" s="30">
        <v>42</v>
      </c>
      <c r="D75" s="30">
        <v>63</v>
      </c>
      <c r="E75" s="30">
        <v>50</v>
      </c>
      <c r="F75" s="30">
        <v>6</v>
      </c>
      <c r="G75" s="30">
        <v>25</v>
      </c>
    </row>
    <row r="76" spans="1:7" x14ac:dyDescent="0.35">
      <c r="A76" s="30">
        <v>75</v>
      </c>
      <c r="B76" s="30" t="s">
        <v>106</v>
      </c>
      <c r="C76" s="30">
        <v>53</v>
      </c>
      <c r="D76" s="30">
        <v>66</v>
      </c>
      <c r="E76" s="30">
        <v>8</v>
      </c>
      <c r="F76" s="30">
        <v>21.6</v>
      </c>
      <c r="G76" s="30">
        <v>17</v>
      </c>
    </row>
    <row r="77" spans="1:7" x14ac:dyDescent="0.35">
      <c r="A77" s="30">
        <v>76</v>
      </c>
      <c r="B77" s="30" t="s">
        <v>107</v>
      </c>
      <c r="C77" s="30">
        <v>58</v>
      </c>
      <c r="D77" s="30">
        <v>64</v>
      </c>
      <c r="E77" s="30">
        <v>26</v>
      </c>
      <c r="F77" s="30">
        <v>17.600000000000001</v>
      </c>
      <c r="G77" s="30">
        <v>25</v>
      </c>
    </row>
    <row r="78" spans="1:7" x14ac:dyDescent="0.35">
      <c r="A78" s="30">
        <v>77</v>
      </c>
      <c r="B78" s="30" t="s">
        <v>108</v>
      </c>
      <c r="C78" s="30">
        <v>14</v>
      </c>
      <c r="D78" s="30">
        <v>29</v>
      </c>
      <c r="E78" s="30">
        <v>41</v>
      </c>
      <c r="F78" s="30">
        <v>10.9</v>
      </c>
      <c r="G78" s="30">
        <v>13</v>
      </c>
    </row>
    <row r="79" spans="1:7" x14ac:dyDescent="0.35">
      <c r="A79" s="30">
        <v>78</v>
      </c>
      <c r="B79" s="30" t="s">
        <v>109</v>
      </c>
      <c r="C79" s="30">
        <v>46</v>
      </c>
      <c r="D79" s="30">
        <v>55</v>
      </c>
      <c r="E79" s="30">
        <v>38</v>
      </c>
      <c r="F79" s="30">
        <v>11.5</v>
      </c>
      <c r="G79" s="30">
        <v>0</v>
      </c>
    </row>
    <row r="80" spans="1:7" x14ac:dyDescent="0.35">
      <c r="A80" s="30">
        <v>79</v>
      </c>
      <c r="B80" s="30" t="s">
        <v>110</v>
      </c>
      <c r="C80" s="30">
        <v>30</v>
      </c>
      <c r="D80" s="30">
        <v>54</v>
      </c>
      <c r="E80" s="30">
        <v>55</v>
      </c>
      <c r="F80" s="30">
        <v>22.8</v>
      </c>
      <c r="G80" s="30">
        <v>22</v>
      </c>
    </row>
    <row r="81" spans="1:7" x14ac:dyDescent="0.35">
      <c r="A81" s="30">
        <v>80</v>
      </c>
      <c r="B81" s="30" t="s">
        <v>111</v>
      </c>
      <c r="C81" s="30">
        <v>16</v>
      </c>
      <c r="D81" s="30">
        <v>61</v>
      </c>
      <c r="E81" s="30">
        <v>7</v>
      </c>
      <c r="F81" s="30">
        <v>16.3</v>
      </c>
      <c r="G81" s="30">
        <v>23</v>
      </c>
    </row>
    <row r="82" spans="1:7" x14ac:dyDescent="0.35">
      <c r="A82" s="30">
        <v>81</v>
      </c>
      <c r="B82" s="30" t="s">
        <v>112</v>
      </c>
      <c r="C82" s="30">
        <v>15</v>
      </c>
      <c r="D82" s="30">
        <v>35</v>
      </c>
      <c r="E82" s="30">
        <v>54</v>
      </c>
      <c r="F82" s="30">
        <v>17.8</v>
      </c>
      <c r="G82" s="30">
        <v>14</v>
      </c>
    </row>
    <row r="83" spans="1:7" x14ac:dyDescent="0.35">
      <c r="A83" s="30">
        <v>82</v>
      </c>
      <c r="B83" s="30" t="s">
        <v>113</v>
      </c>
      <c r="C83" s="30">
        <v>41</v>
      </c>
      <c r="D83" s="30">
        <v>51</v>
      </c>
      <c r="E83" s="30">
        <v>39</v>
      </c>
      <c r="F83" s="30">
        <v>8.3000000000000007</v>
      </c>
      <c r="G83" s="30">
        <v>14</v>
      </c>
    </row>
    <row r="84" spans="1:7" x14ac:dyDescent="0.35">
      <c r="A84" s="30">
        <v>83</v>
      </c>
      <c r="B84" s="30" t="s">
        <v>114</v>
      </c>
      <c r="C84" s="30">
        <v>34</v>
      </c>
      <c r="D84" s="30">
        <v>23</v>
      </c>
      <c r="E84" s="30">
        <v>11</v>
      </c>
      <c r="F84" s="30">
        <v>12.6</v>
      </c>
      <c r="G84" s="30">
        <v>16</v>
      </c>
    </row>
    <row r="85" spans="1:7" x14ac:dyDescent="0.35">
      <c r="A85" s="30">
        <v>84</v>
      </c>
      <c r="B85" s="30" t="s">
        <v>115</v>
      </c>
      <c r="C85" s="30">
        <v>16</v>
      </c>
      <c r="D85" s="30">
        <v>57</v>
      </c>
      <c r="E85" s="30">
        <v>40</v>
      </c>
      <c r="F85" s="30">
        <v>11.2</v>
      </c>
      <c r="G85" s="30">
        <v>5</v>
      </c>
    </row>
    <row r="86" spans="1:7" x14ac:dyDescent="0.35">
      <c r="A86" s="30">
        <v>85</v>
      </c>
      <c r="B86" s="30" t="s">
        <v>116</v>
      </c>
      <c r="C86" s="30">
        <v>23</v>
      </c>
      <c r="D86" s="30">
        <v>47</v>
      </c>
      <c r="E86" s="30">
        <v>45</v>
      </c>
      <c r="F86" s="30">
        <v>2.5</v>
      </c>
      <c r="G86" s="30">
        <v>11</v>
      </c>
    </row>
    <row r="87" spans="1:7" x14ac:dyDescent="0.35">
      <c r="A87" s="30">
        <v>86</v>
      </c>
      <c r="B87" s="30" t="s">
        <v>117</v>
      </c>
      <c r="C87" s="30">
        <v>51</v>
      </c>
      <c r="D87" s="30">
        <v>24</v>
      </c>
      <c r="E87" s="30">
        <v>19</v>
      </c>
      <c r="F87" s="30">
        <v>24.7</v>
      </c>
      <c r="G87" s="30">
        <v>10</v>
      </c>
    </row>
    <row r="88" spans="1:7" x14ac:dyDescent="0.35">
      <c r="A88" s="30">
        <v>87</v>
      </c>
      <c r="B88" s="30" t="s">
        <v>118</v>
      </c>
      <c r="C88" s="30">
        <v>33</v>
      </c>
      <c r="D88" s="30">
        <v>30</v>
      </c>
      <c r="E88" s="30">
        <v>19</v>
      </c>
      <c r="F88" s="30">
        <v>6.3</v>
      </c>
      <c r="G88" s="30">
        <v>11</v>
      </c>
    </row>
    <row r="89" spans="1:7" x14ac:dyDescent="0.35">
      <c r="A89" s="30">
        <v>88</v>
      </c>
      <c r="B89" s="30" t="s">
        <v>119</v>
      </c>
      <c r="C89" s="30">
        <v>35</v>
      </c>
      <c r="D89" s="30">
        <v>58</v>
      </c>
      <c r="E89" s="30">
        <v>21</v>
      </c>
      <c r="F89" s="30">
        <v>10.4</v>
      </c>
      <c r="G89" s="30">
        <v>11</v>
      </c>
    </row>
    <row r="90" spans="1:7" x14ac:dyDescent="0.35">
      <c r="A90" s="30">
        <v>89</v>
      </c>
      <c r="B90" s="30" t="s">
        <v>120</v>
      </c>
      <c r="C90" s="30">
        <v>46</v>
      </c>
      <c r="D90" s="30">
        <v>25</v>
      </c>
      <c r="E90" s="30">
        <v>30</v>
      </c>
      <c r="F90" s="30">
        <v>22.2</v>
      </c>
      <c r="G90" s="30">
        <v>23</v>
      </c>
    </row>
    <row r="91" spans="1:7" x14ac:dyDescent="0.35">
      <c r="A91" s="30">
        <v>90</v>
      </c>
      <c r="B91" s="30" t="s">
        <v>121</v>
      </c>
      <c r="C91" s="30">
        <v>54</v>
      </c>
      <c r="D91" s="30">
        <v>31</v>
      </c>
      <c r="E91" s="30">
        <v>39</v>
      </c>
      <c r="F91" s="30">
        <v>21.6</v>
      </c>
      <c r="G91" s="30">
        <v>18</v>
      </c>
    </row>
    <row r="92" spans="1:7" x14ac:dyDescent="0.35">
      <c r="A92" s="30">
        <v>91</v>
      </c>
      <c r="B92" s="30" t="s">
        <v>122</v>
      </c>
      <c r="C92" s="30">
        <v>57</v>
      </c>
      <c r="D92" s="30">
        <v>37</v>
      </c>
      <c r="E92" s="30">
        <v>60</v>
      </c>
      <c r="F92" s="30">
        <v>7.5</v>
      </c>
      <c r="G92" s="30">
        <v>9</v>
      </c>
    </row>
    <row r="93" spans="1:7" x14ac:dyDescent="0.35">
      <c r="A93" s="30">
        <v>92</v>
      </c>
      <c r="B93" s="30" t="s">
        <v>123</v>
      </c>
      <c r="C93" s="30">
        <v>44</v>
      </c>
      <c r="D93" s="30">
        <v>31</v>
      </c>
      <c r="E93" s="30">
        <v>13</v>
      </c>
      <c r="F93" s="30">
        <v>4</v>
      </c>
      <c r="G93" s="30">
        <v>23</v>
      </c>
    </row>
    <row r="94" spans="1:7" x14ac:dyDescent="0.35">
      <c r="A94" s="30">
        <v>93</v>
      </c>
      <c r="B94" s="30" t="s">
        <v>124</v>
      </c>
      <c r="C94" s="30">
        <v>33</v>
      </c>
      <c r="D94" s="30">
        <v>42</v>
      </c>
      <c r="E94" s="30">
        <v>28</v>
      </c>
      <c r="F94" s="30">
        <v>17.100000000000001</v>
      </c>
      <c r="G94" s="30">
        <v>0</v>
      </c>
    </row>
    <row r="95" spans="1:7" x14ac:dyDescent="0.35">
      <c r="A95" s="30">
        <v>94</v>
      </c>
      <c r="B95" s="30" t="s">
        <v>125</v>
      </c>
      <c r="C95" s="30">
        <v>42</v>
      </c>
      <c r="D95" s="30">
        <v>64</v>
      </c>
      <c r="E95" s="30">
        <v>45</v>
      </c>
      <c r="F95" s="30">
        <v>20.6</v>
      </c>
      <c r="G95" s="30">
        <v>11</v>
      </c>
    </row>
    <row r="96" spans="1:7" x14ac:dyDescent="0.35">
      <c r="A96" s="30">
        <v>95</v>
      </c>
      <c r="B96" s="30" t="s">
        <v>126</v>
      </c>
      <c r="C96" s="30">
        <v>60</v>
      </c>
      <c r="D96" s="30">
        <v>31</v>
      </c>
      <c r="E96" s="30">
        <v>14</v>
      </c>
      <c r="F96" s="30">
        <v>20.7</v>
      </c>
      <c r="G96" s="30">
        <v>24</v>
      </c>
    </row>
    <row r="97" spans="1:7" x14ac:dyDescent="0.35">
      <c r="A97" s="30">
        <v>96</v>
      </c>
      <c r="B97" s="30" t="s">
        <v>127</v>
      </c>
      <c r="C97" s="30">
        <v>53</v>
      </c>
      <c r="D97" s="30">
        <v>38</v>
      </c>
      <c r="E97" s="30">
        <v>18</v>
      </c>
      <c r="F97" s="30">
        <v>11.3</v>
      </c>
      <c r="G97" s="30">
        <v>5</v>
      </c>
    </row>
    <row r="98" spans="1:7" x14ac:dyDescent="0.35">
      <c r="A98" s="30">
        <v>97</v>
      </c>
      <c r="B98" s="30" t="s">
        <v>128</v>
      </c>
      <c r="C98" s="30">
        <v>20</v>
      </c>
      <c r="D98" s="30">
        <v>61</v>
      </c>
      <c r="E98" s="30">
        <v>9</v>
      </c>
      <c r="F98" s="30">
        <v>22.5</v>
      </c>
      <c r="G98" s="30">
        <v>7</v>
      </c>
    </row>
    <row r="99" spans="1:7" x14ac:dyDescent="0.35">
      <c r="A99" s="30">
        <v>98</v>
      </c>
      <c r="B99" s="30" t="s">
        <v>129</v>
      </c>
      <c r="C99" s="30">
        <v>26</v>
      </c>
      <c r="D99" s="30">
        <v>25</v>
      </c>
      <c r="E99" s="30">
        <v>50</v>
      </c>
      <c r="F99" s="30">
        <v>24.4</v>
      </c>
      <c r="G99" s="30">
        <v>22</v>
      </c>
    </row>
    <row r="100" spans="1:7" x14ac:dyDescent="0.35">
      <c r="A100" s="30">
        <v>99</v>
      </c>
      <c r="B100" s="30" t="s">
        <v>130</v>
      </c>
      <c r="C100" s="30">
        <v>23</v>
      </c>
      <c r="D100" s="30">
        <v>38</v>
      </c>
      <c r="E100" s="30">
        <v>5</v>
      </c>
      <c r="F100" s="30">
        <v>15.5</v>
      </c>
      <c r="G100" s="30">
        <v>1</v>
      </c>
    </row>
    <row r="101" spans="1:7" x14ac:dyDescent="0.35">
      <c r="A101" s="30">
        <v>100</v>
      </c>
      <c r="B101" s="30" t="s">
        <v>131</v>
      </c>
      <c r="C101" s="30">
        <v>12</v>
      </c>
      <c r="D101" s="30">
        <v>68</v>
      </c>
      <c r="E101" s="30">
        <v>14</v>
      </c>
      <c r="F101" s="30">
        <v>13.3</v>
      </c>
      <c r="G101" s="30">
        <v>9</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01"/>
  <sheetViews>
    <sheetView topLeftCell="B1" workbookViewId="0">
      <selection activeCell="H10" sqref="H10"/>
    </sheetView>
  </sheetViews>
  <sheetFormatPr defaultRowHeight="15" customHeight="1" x14ac:dyDescent="0.35"/>
  <cols>
    <col min="1" max="1" width="11" bestFit="1" customWidth="1"/>
    <col min="2" max="2" width="20.26953125" bestFit="1" customWidth="1"/>
    <col min="3" max="3" width="13.7265625" bestFit="1" customWidth="1"/>
    <col min="4" max="4" width="14.453125" bestFit="1" customWidth="1"/>
    <col min="5" max="5" width="9" bestFit="1" customWidth="1"/>
    <col min="7" max="7" width="25" customWidth="1"/>
    <col min="8" max="9" width="19.54296875" customWidth="1"/>
    <col min="10" max="10" width="4.7265625" customWidth="1"/>
    <col min="11" max="11" width="27.7265625" bestFit="1" customWidth="1"/>
    <col min="12" max="12" width="30.81640625" customWidth="1"/>
    <col min="13" max="13" width="24.453125" bestFit="1" customWidth="1"/>
    <col min="14" max="14" width="30.7265625" bestFit="1" customWidth="1"/>
  </cols>
  <sheetData>
    <row r="1" spans="1:14" x14ac:dyDescent="0.35">
      <c r="A1" s="29" t="s">
        <v>0</v>
      </c>
      <c r="B1" s="29" t="s">
        <v>144</v>
      </c>
      <c r="C1" s="29" t="s">
        <v>145</v>
      </c>
      <c r="D1" s="29" t="s">
        <v>146</v>
      </c>
      <c r="E1" s="29" t="s">
        <v>147</v>
      </c>
      <c r="F1" s="29" t="s">
        <v>148</v>
      </c>
      <c r="G1" s="29" t="s">
        <v>149</v>
      </c>
      <c r="H1" s="28" t="s">
        <v>150</v>
      </c>
      <c r="I1" s="21">
        <f>QUARTILE($E$2:$E$101,3)</f>
        <v>82</v>
      </c>
      <c r="K1" t="s">
        <v>151</v>
      </c>
      <c r="L1" t="s">
        <v>152</v>
      </c>
      <c r="M1" t="s">
        <v>153</v>
      </c>
      <c r="N1" t="s">
        <v>154</v>
      </c>
    </row>
    <row r="2" spans="1:14" x14ac:dyDescent="0.35">
      <c r="A2" s="30">
        <v>1</v>
      </c>
      <c r="B2" s="30">
        <v>91</v>
      </c>
      <c r="C2" s="30" t="s">
        <v>155</v>
      </c>
      <c r="D2" s="30">
        <v>2</v>
      </c>
      <c r="E2" s="30">
        <v>45</v>
      </c>
      <c r="F2" s="30">
        <f>_xlfn.RANK.EQ(E2,$E$2:$E$101,0)</f>
        <v>85</v>
      </c>
      <c r="G2" s="30" t="str">
        <f t="shared" ref="G2:G33" si="0">IF(E2&gt;$I$1,"Top Performer", "")</f>
        <v/>
      </c>
      <c r="H2" s="28" t="s">
        <v>156</v>
      </c>
      <c r="I2" s="21">
        <f>LARGE(E:E,5)</f>
        <v>92</v>
      </c>
      <c r="K2" s="3">
        <f>(Environmental!G2-MIN(Environmental!$G$2:$G$101))/(MAX(Environmental!$G$2:$G$101)-MIN(Environmental!$G$2:$G$101))*100</f>
        <v>97.849462365591393</v>
      </c>
      <c r="L2" s="3">
        <f>(Social!C2-MIN(Social!$C$2:$C$101))/(MAX(Social!$C$2:$C$101)-MIN(Social!$C$2:$C$101))*100</f>
        <v>68</v>
      </c>
      <c r="M2" s="3">
        <f t="shared" ref="M2:M33" si="1">(E2-MIN($E$2:$E$101))/(MAX($E$2:$E$101)-MIN($E$2:$E$101))*100</f>
        <v>16.949152542372879</v>
      </c>
      <c r="N2" s="3">
        <f t="shared" ref="N2:N33" si="2">(0.4*K2)+(0.3*L2)+(0.3*M2)</f>
        <v>64.624530708948427</v>
      </c>
    </row>
    <row r="3" spans="1:14" x14ac:dyDescent="0.35">
      <c r="A3" s="30">
        <v>2</v>
      </c>
      <c r="B3" s="30">
        <v>55</v>
      </c>
      <c r="C3" s="30" t="s">
        <v>155</v>
      </c>
      <c r="D3" s="30">
        <v>6</v>
      </c>
      <c r="E3" s="30">
        <v>82</v>
      </c>
      <c r="F3" s="30">
        <f t="shared" ref="F3:F66" si="3">_xlfn.RANK.EQ(E3,$E$2:$E$101,0)</f>
        <v>24</v>
      </c>
      <c r="G3" s="30" t="str">
        <f t="shared" si="0"/>
        <v/>
      </c>
      <c r="H3" s="28" t="s">
        <v>157</v>
      </c>
      <c r="I3" s="21">
        <f>SMALL(E:E,5)</f>
        <v>38</v>
      </c>
      <c r="K3" s="3">
        <f>(Environmental!G3-MIN(Environmental!$G$2:$G$101))/(MAX(Environmental!$G$2:$G$101)-MIN(Environmental!$G$2:$G$101))*100</f>
        <v>73.118279569892479</v>
      </c>
      <c r="L3" s="3">
        <f>(Social!C3-MIN(Social!$C$2:$C$101))/(MAX(Social!$C$2:$C$101)-MIN(Social!$C$2:$C$101))*100</f>
        <v>12</v>
      </c>
      <c r="M3" s="3">
        <f t="shared" si="1"/>
        <v>79.66101694915254</v>
      </c>
      <c r="N3" s="3">
        <f t="shared" si="2"/>
        <v>56.745616912702758</v>
      </c>
    </row>
    <row r="4" spans="1:14" x14ac:dyDescent="0.35">
      <c r="A4" s="30">
        <v>3</v>
      </c>
      <c r="B4" s="30">
        <v>41</v>
      </c>
      <c r="C4" s="30" t="s">
        <v>155</v>
      </c>
      <c r="D4" s="30">
        <v>10</v>
      </c>
      <c r="E4" s="30">
        <v>78</v>
      </c>
      <c r="F4" s="30">
        <f t="shared" si="3"/>
        <v>30</v>
      </c>
      <c r="G4" s="30" t="str">
        <f t="shared" si="0"/>
        <v/>
      </c>
      <c r="K4" s="3">
        <f>(Environmental!G4-MIN(Environmental!$G$2:$G$101))/(MAX(Environmental!$G$2:$G$101)-MIN(Environmental!$G$2:$G$101))*100</f>
        <v>10.75268817204301</v>
      </c>
      <c r="L4" s="3">
        <f>(Social!C4-MIN(Social!$C$2:$C$101))/(MAX(Social!$C$2:$C$101)-MIN(Social!$C$2:$C$101))*100</f>
        <v>94</v>
      </c>
      <c r="M4" s="3">
        <f t="shared" si="1"/>
        <v>72.881355932203391</v>
      </c>
      <c r="N4" s="3">
        <f t="shared" si="2"/>
        <v>54.365482048478221</v>
      </c>
    </row>
    <row r="5" spans="1:14" x14ac:dyDescent="0.35">
      <c r="A5" s="30">
        <v>4</v>
      </c>
      <c r="B5" s="30">
        <v>90</v>
      </c>
      <c r="C5" s="30" t="s">
        <v>155</v>
      </c>
      <c r="D5" s="30">
        <v>5</v>
      </c>
      <c r="E5" s="30">
        <v>54</v>
      </c>
      <c r="F5" s="30">
        <f t="shared" si="3"/>
        <v>67</v>
      </c>
      <c r="G5" s="30" t="str">
        <f t="shared" si="0"/>
        <v/>
      </c>
      <c r="K5" s="3">
        <f>(Environmental!G5-MIN(Environmental!$G$2:$G$101))/(MAX(Environmental!$G$2:$G$101)-MIN(Environmental!$G$2:$G$101))*100</f>
        <v>80.645161290322577</v>
      </c>
      <c r="L5" s="3">
        <f>(Social!C5-MIN(Social!$C$2:$C$101))/(MAX(Social!$C$2:$C$101)-MIN(Social!$C$2:$C$101))*100</f>
        <v>66</v>
      </c>
      <c r="M5" s="3">
        <f t="shared" si="1"/>
        <v>32.20338983050847</v>
      </c>
      <c r="N5" s="3">
        <f t="shared" si="2"/>
        <v>61.719081465281576</v>
      </c>
    </row>
    <row r="6" spans="1:14" x14ac:dyDescent="0.35">
      <c r="A6" s="30">
        <v>5</v>
      </c>
      <c r="B6" s="30">
        <v>94</v>
      </c>
      <c r="C6" s="30" t="s">
        <v>155</v>
      </c>
      <c r="D6" s="30">
        <v>5</v>
      </c>
      <c r="E6" s="30">
        <v>62</v>
      </c>
      <c r="F6" s="30">
        <f t="shared" si="3"/>
        <v>56</v>
      </c>
      <c r="G6" s="30" t="str">
        <f t="shared" si="0"/>
        <v/>
      </c>
      <c r="K6" s="3">
        <f>(Environmental!G6-MIN(Environmental!$G$2:$G$101))/(MAX(Environmental!$G$2:$G$101)-MIN(Environmental!$G$2:$G$101))*100</f>
        <v>95.6989247311828</v>
      </c>
      <c r="L6" s="3">
        <f>(Social!C6-MIN(Social!$C$2:$C$101))/(MAX(Social!$C$2:$C$101)-MIN(Social!$C$2:$C$101))*100</f>
        <v>8</v>
      </c>
      <c r="M6" s="3">
        <f t="shared" si="1"/>
        <v>45.762711864406782</v>
      </c>
      <c r="N6" s="3">
        <f t="shared" si="2"/>
        <v>54.408383451795153</v>
      </c>
    </row>
    <row r="7" spans="1:14" x14ac:dyDescent="0.35">
      <c r="A7" s="30">
        <v>6</v>
      </c>
      <c r="B7" s="30">
        <v>45</v>
      </c>
      <c r="C7" s="30" t="s">
        <v>158</v>
      </c>
      <c r="D7" s="30">
        <v>4</v>
      </c>
      <c r="E7" s="30">
        <v>94</v>
      </c>
      <c r="F7" s="30">
        <f t="shared" si="3"/>
        <v>1</v>
      </c>
      <c r="G7" s="30" t="str">
        <f t="shared" si="0"/>
        <v>Top Performer</v>
      </c>
      <c r="K7" s="3">
        <f>(Environmental!G7-MIN(Environmental!$G$2:$G$101))/(MAX(Environmental!$G$2:$G$101)-MIN(Environmental!$G$2:$G$101))*100</f>
        <v>89.247311827956992</v>
      </c>
      <c r="L7" s="3">
        <f>(Social!C7-MIN(Social!$C$2:$C$101))/(MAX(Social!$C$2:$C$101)-MIN(Social!$C$2:$C$101))*100</f>
        <v>14.000000000000002</v>
      </c>
      <c r="M7" s="3">
        <f t="shared" si="1"/>
        <v>100</v>
      </c>
      <c r="N7" s="3">
        <f t="shared" si="2"/>
        <v>69.898924731182802</v>
      </c>
    </row>
    <row r="8" spans="1:14" x14ac:dyDescent="0.35">
      <c r="A8" s="30">
        <v>7</v>
      </c>
      <c r="B8" s="30">
        <v>52</v>
      </c>
      <c r="C8" s="30" t="s">
        <v>155</v>
      </c>
      <c r="D8" s="30">
        <v>2</v>
      </c>
      <c r="E8" s="30">
        <v>41</v>
      </c>
      <c r="F8" s="30">
        <f t="shared" si="3"/>
        <v>90</v>
      </c>
      <c r="G8" s="30" t="str">
        <f t="shared" si="0"/>
        <v/>
      </c>
      <c r="K8" s="3">
        <f>(Environmental!G8-MIN(Environmental!$G$2:$G$101))/(MAX(Environmental!$G$2:$G$101)-MIN(Environmental!$G$2:$G$101))*100</f>
        <v>44.086021505376344</v>
      </c>
      <c r="L8" s="3">
        <f>(Social!C8-MIN(Social!$C$2:$C$101))/(MAX(Social!$C$2:$C$101)-MIN(Social!$C$2:$C$101))*100</f>
        <v>34</v>
      </c>
      <c r="M8" s="3">
        <f t="shared" si="1"/>
        <v>10.16949152542373</v>
      </c>
      <c r="N8" s="3">
        <f t="shared" si="2"/>
        <v>30.885256059777657</v>
      </c>
    </row>
    <row r="9" spans="1:14" x14ac:dyDescent="0.35">
      <c r="A9" s="30">
        <v>8</v>
      </c>
      <c r="B9" s="30">
        <v>45</v>
      </c>
      <c r="C9" s="30" t="s">
        <v>158</v>
      </c>
      <c r="D9" s="30">
        <v>5</v>
      </c>
      <c r="E9" s="30">
        <v>35</v>
      </c>
      <c r="F9" s="30">
        <f t="shared" si="3"/>
        <v>100</v>
      </c>
      <c r="G9" s="30" t="str">
        <f t="shared" si="0"/>
        <v/>
      </c>
      <c r="K9" s="3">
        <f>(Environmental!G9-MIN(Environmental!$G$2:$G$101))/(MAX(Environmental!$G$2:$G$101)-MIN(Environmental!$G$2:$G$101))*100</f>
        <v>74.193548387096769</v>
      </c>
      <c r="L9" s="3">
        <f>(Social!C9-MIN(Social!$C$2:$C$101))/(MAX(Social!$C$2:$C$101)-MIN(Social!$C$2:$C$101))*100</f>
        <v>32</v>
      </c>
      <c r="M9" s="3">
        <f t="shared" si="1"/>
        <v>0</v>
      </c>
      <c r="N9" s="3">
        <f t="shared" si="2"/>
        <v>39.277419354838706</v>
      </c>
    </row>
    <row r="10" spans="1:14" x14ac:dyDescent="0.35">
      <c r="A10" s="30">
        <v>9</v>
      </c>
      <c r="B10" s="30">
        <v>60</v>
      </c>
      <c r="C10" s="30" t="s">
        <v>158</v>
      </c>
      <c r="D10" s="30">
        <v>3</v>
      </c>
      <c r="E10" s="30">
        <v>83</v>
      </c>
      <c r="F10" s="30">
        <f t="shared" si="3"/>
        <v>22</v>
      </c>
      <c r="G10" s="30" t="str">
        <f t="shared" si="0"/>
        <v>Top Performer</v>
      </c>
      <c r="K10" s="3">
        <f>(Environmental!G10-MIN(Environmental!$G$2:$G$101))/(MAX(Environmental!$G$2:$G$101)-MIN(Environmental!$G$2:$G$101))*100</f>
        <v>40.86021505376344</v>
      </c>
      <c r="L10" s="3">
        <f>(Social!C10-MIN(Social!$C$2:$C$101))/(MAX(Social!$C$2:$C$101)-MIN(Social!$C$2:$C$101))*100</f>
        <v>92</v>
      </c>
      <c r="M10" s="3">
        <f t="shared" si="1"/>
        <v>81.355932203389841</v>
      </c>
      <c r="N10" s="3">
        <f t="shared" si="2"/>
        <v>68.350865682522326</v>
      </c>
    </row>
    <row r="11" spans="1:14" x14ac:dyDescent="0.35">
      <c r="A11" s="30">
        <v>10</v>
      </c>
      <c r="B11" s="30">
        <v>92</v>
      </c>
      <c r="C11" s="30" t="s">
        <v>155</v>
      </c>
      <c r="D11" s="30">
        <v>3</v>
      </c>
      <c r="E11" s="30">
        <v>78</v>
      </c>
      <c r="F11" s="30">
        <f t="shared" si="3"/>
        <v>30</v>
      </c>
      <c r="G11" s="30" t="str">
        <f t="shared" si="0"/>
        <v/>
      </c>
      <c r="K11" s="3">
        <f>(Environmental!G11-MIN(Environmental!$G$2:$G$101))/(MAX(Environmental!$G$2:$G$101)-MIN(Environmental!$G$2:$G$101))*100</f>
        <v>33.333333333333329</v>
      </c>
      <c r="L11" s="3">
        <f>(Social!C11-MIN(Social!$C$2:$C$101))/(MAX(Social!$C$2:$C$101)-MIN(Social!$C$2:$C$101))*100</f>
        <v>8</v>
      </c>
      <c r="M11" s="3">
        <f t="shared" si="1"/>
        <v>72.881355932203391</v>
      </c>
      <c r="N11" s="3">
        <f t="shared" si="2"/>
        <v>37.597740112994352</v>
      </c>
    </row>
    <row r="12" spans="1:14" x14ac:dyDescent="0.35">
      <c r="A12" s="30">
        <v>11</v>
      </c>
      <c r="B12" s="30">
        <v>86</v>
      </c>
      <c r="C12" s="30" t="s">
        <v>155</v>
      </c>
      <c r="D12" s="30">
        <v>10</v>
      </c>
      <c r="E12" s="30">
        <v>62</v>
      </c>
      <c r="F12" s="30">
        <f t="shared" si="3"/>
        <v>56</v>
      </c>
      <c r="G12" s="30" t="str">
        <f t="shared" si="0"/>
        <v/>
      </c>
      <c r="K12" s="3">
        <f>(Environmental!G12-MIN(Environmental!$G$2:$G$101))/(MAX(Environmental!$G$2:$G$101)-MIN(Environmental!$G$2:$G$101))*100</f>
        <v>83.870967741935488</v>
      </c>
      <c r="L12" s="3">
        <f>(Social!C12-MIN(Social!$C$2:$C$101))/(MAX(Social!$C$2:$C$101)-MIN(Social!$C$2:$C$101))*100</f>
        <v>86</v>
      </c>
      <c r="M12" s="3">
        <f t="shared" si="1"/>
        <v>45.762711864406782</v>
      </c>
      <c r="N12" s="3">
        <f t="shared" si="2"/>
        <v>73.077200656096238</v>
      </c>
    </row>
    <row r="13" spans="1:14" x14ac:dyDescent="0.35">
      <c r="A13" s="30">
        <v>12</v>
      </c>
      <c r="B13" s="30">
        <v>61</v>
      </c>
      <c r="C13" s="30" t="s">
        <v>158</v>
      </c>
      <c r="D13" s="30">
        <v>2</v>
      </c>
      <c r="E13" s="30">
        <v>71</v>
      </c>
      <c r="F13" s="30">
        <f t="shared" si="3"/>
        <v>38</v>
      </c>
      <c r="G13" s="30" t="str">
        <f t="shared" si="0"/>
        <v/>
      </c>
      <c r="K13" s="3">
        <f>(Environmental!G13-MIN(Environmental!$G$2:$G$101))/(MAX(Environmental!$G$2:$G$101)-MIN(Environmental!$G$2:$G$101))*100</f>
        <v>83.870967741935488</v>
      </c>
      <c r="L13" s="3">
        <f>(Social!C13-MIN(Social!$C$2:$C$101))/(MAX(Social!$C$2:$C$101)-MIN(Social!$C$2:$C$101))*100</f>
        <v>32</v>
      </c>
      <c r="M13" s="3">
        <f t="shared" si="1"/>
        <v>61.016949152542374</v>
      </c>
      <c r="N13" s="3">
        <f t="shared" si="2"/>
        <v>61.453471842536914</v>
      </c>
    </row>
    <row r="14" spans="1:14" x14ac:dyDescent="0.35">
      <c r="A14" s="30">
        <v>13</v>
      </c>
      <c r="B14" s="30">
        <v>93</v>
      </c>
      <c r="C14" s="30" t="s">
        <v>158</v>
      </c>
      <c r="D14" s="30">
        <v>10</v>
      </c>
      <c r="E14" s="30">
        <v>68</v>
      </c>
      <c r="F14" s="30">
        <f t="shared" si="3"/>
        <v>44</v>
      </c>
      <c r="G14" s="30" t="str">
        <f t="shared" si="0"/>
        <v/>
      </c>
      <c r="K14" s="3">
        <f>(Environmental!G14-MIN(Environmental!$G$2:$G$101))/(MAX(Environmental!$G$2:$G$101)-MIN(Environmental!$G$2:$G$101))*100</f>
        <v>62.365591397849464</v>
      </c>
      <c r="L14" s="3">
        <f>(Social!C14-MIN(Social!$C$2:$C$101))/(MAX(Social!$C$2:$C$101)-MIN(Social!$C$2:$C$101))*100</f>
        <v>14.000000000000002</v>
      </c>
      <c r="M14" s="3">
        <f t="shared" si="1"/>
        <v>55.932203389830505</v>
      </c>
      <c r="N14" s="3">
        <f t="shared" si="2"/>
        <v>45.925897576088943</v>
      </c>
    </row>
    <row r="15" spans="1:14" x14ac:dyDescent="0.35">
      <c r="A15" s="30">
        <v>14</v>
      </c>
      <c r="B15" s="30">
        <v>92</v>
      </c>
      <c r="C15" s="30" t="s">
        <v>155</v>
      </c>
      <c r="D15" s="30">
        <v>7</v>
      </c>
      <c r="E15" s="30">
        <v>52</v>
      </c>
      <c r="F15" s="30">
        <f t="shared" si="3"/>
        <v>69</v>
      </c>
      <c r="G15" s="30" t="str">
        <f t="shared" si="0"/>
        <v/>
      </c>
      <c r="K15" s="3">
        <f>(Environmental!G15-MIN(Environmental!$G$2:$G$101))/(MAX(Environmental!$G$2:$G$101)-MIN(Environmental!$G$2:$G$101))*100</f>
        <v>46.236559139784944</v>
      </c>
      <c r="L15" s="3">
        <f>(Social!C15-MIN(Social!$C$2:$C$101))/(MAX(Social!$C$2:$C$101)-MIN(Social!$C$2:$C$101))*100</f>
        <v>36</v>
      </c>
      <c r="M15" s="3">
        <f t="shared" si="1"/>
        <v>28.8135593220339</v>
      </c>
      <c r="N15" s="3">
        <f t="shared" si="2"/>
        <v>37.938691452524154</v>
      </c>
    </row>
    <row r="16" spans="1:14" x14ac:dyDescent="0.35">
      <c r="A16" s="30">
        <v>15</v>
      </c>
      <c r="B16" s="30">
        <v>87</v>
      </c>
      <c r="C16" s="30" t="s">
        <v>155</v>
      </c>
      <c r="D16" s="30">
        <v>10</v>
      </c>
      <c r="E16" s="30">
        <v>64</v>
      </c>
      <c r="F16" s="30">
        <f t="shared" si="3"/>
        <v>51</v>
      </c>
      <c r="G16" s="30" t="str">
        <f t="shared" si="0"/>
        <v/>
      </c>
      <c r="K16" s="3">
        <f>(Environmental!G16-MIN(Environmental!$G$2:$G$101))/(MAX(Environmental!$G$2:$G$101)-MIN(Environmental!$G$2:$G$101))*100</f>
        <v>74.193548387096769</v>
      </c>
      <c r="L16" s="3">
        <f>(Social!C16-MIN(Social!$C$2:$C$101))/(MAX(Social!$C$2:$C$101)-MIN(Social!$C$2:$C$101))*100</f>
        <v>40</v>
      </c>
      <c r="M16" s="3">
        <f t="shared" si="1"/>
        <v>49.152542372881356</v>
      </c>
      <c r="N16" s="3">
        <f t="shared" si="2"/>
        <v>56.423182066703113</v>
      </c>
    </row>
    <row r="17" spans="1:14" x14ac:dyDescent="0.35">
      <c r="A17" s="30">
        <v>16</v>
      </c>
      <c r="B17" s="30">
        <v>80</v>
      </c>
      <c r="C17" s="30" t="s">
        <v>155</v>
      </c>
      <c r="D17" s="30">
        <v>5</v>
      </c>
      <c r="E17" s="30">
        <v>89</v>
      </c>
      <c r="F17" s="30">
        <f t="shared" si="3"/>
        <v>9</v>
      </c>
      <c r="G17" s="30" t="str">
        <f t="shared" si="0"/>
        <v>Top Performer</v>
      </c>
      <c r="K17" s="3">
        <f>(Environmental!G17-MIN(Environmental!$G$2:$G$101))/(MAX(Environmental!$G$2:$G$101)-MIN(Environmental!$G$2:$G$101))*100</f>
        <v>94.623655913978496</v>
      </c>
      <c r="L17" s="3">
        <f>(Social!C17-MIN(Social!$C$2:$C$101))/(MAX(Social!$C$2:$C$101)-MIN(Social!$C$2:$C$101))*100</f>
        <v>4</v>
      </c>
      <c r="M17" s="3">
        <f t="shared" si="1"/>
        <v>91.525423728813564</v>
      </c>
      <c r="N17" s="3">
        <f t="shared" si="2"/>
        <v>66.507089484235479</v>
      </c>
    </row>
    <row r="18" spans="1:14" x14ac:dyDescent="0.35">
      <c r="A18" s="30">
        <v>17</v>
      </c>
      <c r="B18" s="30">
        <v>58</v>
      </c>
      <c r="C18" s="30" t="s">
        <v>155</v>
      </c>
      <c r="D18" s="30">
        <v>8</v>
      </c>
      <c r="E18" s="30">
        <v>52</v>
      </c>
      <c r="F18" s="30">
        <f t="shared" si="3"/>
        <v>69</v>
      </c>
      <c r="G18" s="30" t="str">
        <f t="shared" si="0"/>
        <v/>
      </c>
      <c r="K18" s="3">
        <f>(Environmental!G18-MIN(Environmental!$G$2:$G$101))/(MAX(Environmental!$G$2:$G$101)-MIN(Environmental!$G$2:$G$101))*100</f>
        <v>13.978494623655912</v>
      </c>
      <c r="L18" s="3">
        <f>(Social!C18-MIN(Social!$C$2:$C$101))/(MAX(Social!$C$2:$C$101)-MIN(Social!$C$2:$C$101))*100</f>
        <v>88</v>
      </c>
      <c r="M18" s="3">
        <f t="shared" si="1"/>
        <v>28.8135593220339</v>
      </c>
      <c r="N18" s="3">
        <f t="shared" si="2"/>
        <v>40.635465646072532</v>
      </c>
    </row>
    <row r="19" spans="1:14" x14ac:dyDescent="0.35">
      <c r="A19" s="30">
        <v>18</v>
      </c>
      <c r="B19" s="30">
        <v>64</v>
      </c>
      <c r="C19" s="30" t="s">
        <v>158</v>
      </c>
      <c r="D19" s="30">
        <v>0</v>
      </c>
      <c r="E19" s="30">
        <v>51</v>
      </c>
      <c r="F19" s="30">
        <f t="shared" si="3"/>
        <v>71</v>
      </c>
      <c r="G19" s="30" t="str">
        <f t="shared" si="0"/>
        <v/>
      </c>
      <c r="K19" s="3">
        <f>(Environmental!G19-MIN(Environmental!$G$2:$G$101))/(MAX(Environmental!$G$2:$G$101)-MIN(Environmental!$G$2:$G$101))*100</f>
        <v>39.784946236559136</v>
      </c>
      <c r="L19" s="3">
        <f>(Social!C19-MIN(Social!$C$2:$C$101))/(MAX(Social!$C$2:$C$101)-MIN(Social!$C$2:$C$101))*100</f>
        <v>70</v>
      </c>
      <c r="M19" s="3">
        <f t="shared" si="1"/>
        <v>27.118644067796609</v>
      </c>
      <c r="N19" s="3">
        <f t="shared" si="2"/>
        <v>45.049571714962639</v>
      </c>
    </row>
    <row r="20" spans="1:14" x14ac:dyDescent="0.35">
      <c r="A20" s="30">
        <v>19</v>
      </c>
      <c r="B20" s="30">
        <v>100</v>
      </c>
      <c r="C20" s="30" t="s">
        <v>155</v>
      </c>
      <c r="D20" s="30">
        <v>2</v>
      </c>
      <c r="E20" s="30">
        <v>88</v>
      </c>
      <c r="F20" s="30">
        <f t="shared" si="3"/>
        <v>13</v>
      </c>
      <c r="G20" s="30" t="str">
        <f t="shared" si="0"/>
        <v>Top Performer</v>
      </c>
      <c r="K20" s="3">
        <f>(Environmental!G20-MIN(Environmental!$G$2:$G$101))/(MAX(Environmental!$G$2:$G$101)-MIN(Environmental!$G$2:$G$101))*100</f>
        <v>98.924731182795696</v>
      </c>
      <c r="L20" s="3">
        <f>(Social!C20-MIN(Social!$C$2:$C$101))/(MAX(Social!$C$2:$C$101)-MIN(Social!$C$2:$C$101))*100</f>
        <v>16</v>
      </c>
      <c r="M20" s="3">
        <f t="shared" si="1"/>
        <v>89.830508474576277</v>
      </c>
      <c r="N20" s="3">
        <f t="shared" si="2"/>
        <v>71.319045015491156</v>
      </c>
    </row>
    <row r="21" spans="1:14" x14ac:dyDescent="0.35">
      <c r="A21" s="30">
        <v>20</v>
      </c>
      <c r="B21" s="30">
        <v>82</v>
      </c>
      <c r="C21" s="30" t="s">
        <v>155</v>
      </c>
      <c r="D21" s="30">
        <v>8</v>
      </c>
      <c r="E21" s="30">
        <v>65</v>
      </c>
      <c r="F21" s="30">
        <f t="shared" si="3"/>
        <v>46</v>
      </c>
      <c r="G21" s="30" t="str">
        <f t="shared" si="0"/>
        <v/>
      </c>
      <c r="K21" s="3">
        <f>(Environmental!G21-MIN(Environmental!$G$2:$G$101))/(MAX(Environmental!$G$2:$G$101)-MIN(Environmental!$G$2:$G$101))*100</f>
        <v>70.967741935483872</v>
      </c>
      <c r="L21" s="3">
        <f>(Social!C21-MIN(Social!$C$2:$C$101))/(MAX(Social!$C$2:$C$101)-MIN(Social!$C$2:$C$101))*100</f>
        <v>60</v>
      </c>
      <c r="M21" s="3">
        <f t="shared" si="1"/>
        <v>50.847457627118644</v>
      </c>
      <c r="N21" s="3">
        <f t="shared" si="2"/>
        <v>61.641334062329143</v>
      </c>
    </row>
    <row r="22" spans="1:14" x14ac:dyDescent="0.35">
      <c r="A22" s="30">
        <v>21</v>
      </c>
      <c r="B22" s="30">
        <v>95</v>
      </c>
      <c r="C22" s="30" t="s">
        <v>158</v>
      </c>
      <c r="D22" s="30">
        <v>7</v>
      </c>
      <c r="E22" s="30">
        <v>61</v>
      </c>
      <c r="F22" s="30">
        <f t="shared" si="3"/>
        <v>59</v>
      </c>
      <c r="G22" s="30" t="str">
        <f t="shared" si="0"/>
        <v/>
      </c>
      <c r="K22" s="3">
        <f>(Environmental!G22-MIN(Environmental!$G$2:$G$101))/(MAX(Environmental!$G$2:$G$101)-MIN(Environmental!$G$2:$G$101))*100</f>
        <v>95.6989247311828</v>
      </c>
      <c r="L22" s="3">
        <f>(Social!C22-MIN(Social!$C$2:$C$101))/(MAX(Social!$C$2:$C$101)-MIN(Social!$C$2:$C$101))*100</f>
        <v>32</v>
      </c>
      <c r="M22" s="3">
        <f t="shared" si="1"/>
        <v>44.067796610169488</v>
      </c>
      <c r="N22" s="3">
        <f t="shared" si="2"/>
        <v>61.099908875523965</v>
      </c>
    </row>
    <row r="23" spans="1:14" x14ac:dyDescent="0.35">
      <c r="A23" s="30">
        <v>22</v>
      </c>
      <c r="B23" s="30">
        <v>98</v>
      </c>
      <c r="C23" s="30" t="s">
        <v>158</v>
      </c>
      <c r="D23" s="30">
        <v>8</v>
      </c>
      <c r="E23" s="30">
        <v>50</v>
      </c>
      <c r="F23" s="30">
        <f t="shared" si="3"/>
        <v>75</v>
      </c>
      <c r="G23" s="30" t="str">
        <f t="shared" si="0"/>
        <v/>
      </c>
      <c r="K23" s="3">
        <f>(Environmental!G23-MIN(Environmental!$G$2:$G$101))/(MAX(Environmental!$G$2:$G$101)-MIN(Environmental!$G$2:$G$101))*100</f>
        <v>69.892473118279568</v>
      </c>
      <c r="L23" s="3">
        <f>(Social!C23-MIN(Social!$C$2:$C$101))/(MAX(Social!$C$2:$C$101)-MIN(Social!$C$2:$C$101))*100</f>
        <v>76</v>
      </c>
      <c r="M23" s="3">
        <f t="shared" si="1"/>
        <v>25.423728813559322</v>
      </c>
      <c r="N23" s="3">
        <f t="shared" si="2"/>
        <v>58.384107891379628</v>
      </c>
    </row>
    <row r="24" spans="1:14" x14ac:dyDescent="0.35">
      <c r="A24" s="30">
        <v>23</v>
      </c>
      <c r="B24" s="30">
        <v>53</v>
      </c>
      <c r="C24" s="30" t="s">
        <v>158</v>
      </c>
      <c r="D24" s="30">
        <v>4</v>
      </c>
      <c r="E24" s="30">
        <v>39</v>
      </c>
      <c r="F24" s="30">
        <f t="shared" si="3"/>
        <v>95</v>
      </c>
      <c r="G24" s="30" t="str">
        <f t="shared" si="0"/>
        <v/>
      </c>
      <c r="K24" s="3">
        <f>(Environmental!G24-MIN(Environmental!$G$2:$G$101))/(MAX(Environmental!$G$2:$G$101)-MIN(Environmental!$G$2:$G$101))*100</f>
        <v>97.849462365591393</v>
      </c>
      <c r="L24" s="3">
        <f>(Social!C24-MIN(Social!$C$2:$C$101))/(MAX(Social!$C$2:$C$101)-MIN(Social!$C$2:$C$101))*100</f>
        <v>88</v>
      </c>
      <c r="M24" s="3">
        <f t="shared" si="1"/>
        <v>6.7796610169491522</v>
      </c>
      <c r="N24" s="3">
        <f t="shared" si="2"/>
        <v>67.573683251321299</v>
      </c>
    </row>
    <row r="25" spans="1:14" x14ac:dyDescent="0.35">
      <c r="A25" s="30">
        <v>24</v>
      </c>
      <c r="B25" s="30">
        <v>97</v>
      </c>
      <c r="C25" s="30" t="s">
        <v>155</v>
      </c>
      <c r="D25" s="30">
        <v>6</v>
      </c>
      <c r="E25" s="30">
        <v>41</v>
      </c>
      <c r="F25" s="30">
        <f t="shared" si="3"/>
        <v>90</v>
      </c>
      <c r="G25" s="30" t="str">
        <f t="shared" si="0"/>
        <v/>
      </c>
      <c r="K25" s="3">
        <f>(Environmental!G25-MIN(Environmental!$G$2:$G$101))/(MAX(Environmental!$G$2:$G$101)-MIN(Environmental!$G$2:$G$101))*100</f>
        <v>44.086021505376344</v>
      </c>
      <c r="L25" s="3">
        <f>(Social!C25-MIN(Social!$C$2:$C$101))/(MAX(Social!$C$2:$C$101)-MIN(Social!$C$2:$C$101))*100</f>
        <v>50</v>
      </c>
      <c r="M25" s="3">
        <f t="shared" si="1"/>
        <v>10.16949152542373</v>
      </c>
      <c r="N25" s="3">
        <f t="shared" si="2"/>
        <v>35.685256059777664</v>
      </c>
    </row>
    <row r="26" spans="1:14" x14ac:dyDescent="0.35">
      <c r="A26" s="30">
        <v>25</v>
      </c>
      <c r="B26" s="30">
        <v>52</v>
      </c>
      <c r="C26" s="30" t="s">
        <v>158</v>
      </c>
      <c r="D26" s="30">
        <v>4</v>
      </c>
      <c r="E26" s="30">
        <v>74</v>
      </c>
      <c r="F26" s="30">
        <f t="shared" si="3"/>
        <v>35</v>
      </c>
      <c r="G26" s="30" t="str">
        <f t="shared" si="0"/>
        <v/>
      </c>
      <c r="K26" s="3">
        <f>(Environmental!G26-MIN(Environmental!$G$2:$G$101))/(MAX(Environmental!$G$2:$G$101)-MIN(Environmental!$G$2:$G$101))*100</f>
        <v>82.795698924731184</v>
      </c>
      <c r="L26" s="3">
        <f>(Social!C26-MIN(Social!$C$2:$C$101))/(MAX(Social!$C$2:$C$101)-MIN(Social!$C$2:$C$101))*100</f>
        <v>8</v>
      </c>
      <c r="M26" s="3">
        <f t="shared" si="1"/>
        <v>66.101694915254242</v>
      </c>
      <c r="N26" s="3">
        <f t="shared" si="2"/>
        <v>55.348788044468748</v>
      </c>
    </row>
    <row r="27" spans="1:14" x14ac:dyDescent="0.35">
      <c r="A27" s="30">
        <v>26</v>
      </c>
      <c r="B27" s="30">
        <v>51</v>
      </c>
      <c r="C27" s="30" t="s">
        <v>155</v>
      </c>
      <c r="D27" s="30">
        <v>2</v>
      </c>
      <c r="E27" s="30">
        <v>44</v>
      </c>
      <c r="F27" s="30">
        <f t="shared" si="3"/>
        <v>88</v>
      </c>
      <c r="G27" s="30" t="str">
        <f t="shared" si="0"/>
        <v/>
      </c>
      <c r="K27" s="3">
        <f>(Environmental!G27-MIN(Environmental!$G$2:$G$101))/(MAX(Environmental!$G$2:$G$101)-MIN(Environmental!$G$2:$G$101))*100</f>
        <v>38.70967741935484</v>
      </c>
      <c r="L27" s="3">
        <f>(Social!C27-MIN(Social!$C$2:$C$101))/(MAX(Social!$C$2:$C$101)-MIN(Social!$C$2:$C$101))*100</f>
        <v>92</v>
      </c>
      <c r="M27" s="3">
        <f t="shared" si="1"/>
        <v>15.254237288135593</v>
      </c>
      <c r="N27" s="3">
        <f t="shared" si="2"/>
        <v>47.660142154182608</v>
      </c>
    </row>
    <row r="28" spans="1:14" x14ac:dyDescent="0.35">
      <c r="A28" s="30">
        <v>27</v>
      </c>
      <c r="B28" s="30">
        <v>60</v>
      </c>
      <c r="C28" s="30" t="s">
        <v>158</v>
      </c>
      <c r="D28" s="30">
        <v>4</v>
      </c>
      <c r="E28" s="30">
        <v>93</v>
      </c>
      <c r="F28" s="30">
        <f t="shared" si="3"/>
        <v>3</v>
      </c>
      <c r="G28" s="30" t="str">
        <f t="shared" si="0"/>
        <v>Top Performer</v>
      </c>
      <c r="K28" s="3">
        <f>(Environmental!G28-MIN(Environmental!$G$2:$G$101))/(MAX(Environmental!$G$2:$G$101)-MIN(Environmental!$G$2:$G$101))*100</f>
        <v>65.591397849462368</v>
      </c>
      <c r="L28" s="3">
        <f>(Social!C28-MIN(Social!$C$2:$C$101))/(MAX(Social!$C$2:$C$101)-MIN(Social!$C$2:$C$101))*100</f>
        <v>4</v>
      </c>
      <c r="M28" s="3">
        <f t="shared" si="1"/>
        <v>98.305084745762713</v>
      </c>
      <c r="N28" s="3">
        <f t="shared" si="2"/>
        <v>56.928084563513764</v>
      </c>
    </row>
    <row r="29" spans="1:14" x14ac:dyDescent="0.35">
      <c r="A29" s="30">
        <v>28</v>
      </c>
      <c r="B29" s="30">
        <v>53</v>
      </c>
      <c r="C29" s="30" t="s">
        <v>155</v>
      </c>
      <c r="D29" s="30">
        <v>8</v>
      </c>
      <c r="E29" s="30">
        <v>64</v>
      </c>
      <c r="F29" s="30">
        <f t="shared" si="3"/>
        <v>51</v>
      </c>
      <c r="G29" s="30" t="str">
        <f t="shared" si="0"/>
        <v/>
      </c>
      <c r="K29" s="3">
        <f>(Environmental!G29-MIN(Environmental!$G$2:$G$101))/(MAX(Environmental!$G$2:$G$101)-MIN(Environmental!$G$2:$G$101))*100</f>
        <v>35.483870967741936</v>
      </c>
      <c r="L29" s="3">
        <f>(Social!C29-MIN(Social!$C$2:$C$101))/(MAX(Social!$C$2:$C$101)-MIN(Social!$C$2:$C$101))*100</f>
        <v>24</v>
      </c>
      <c r="M29" s="3">
        <f t="shared" si="1"/>
        <v>49.152542372881356</v>
      </c>
      <c r="N29" s="3">
        <f t="shared" si="2"/>
        <v>36.13931109896118</v>
      </c>
    </row>
    <row r="30" spans="1:14" x14ac:dyDescent="0.35">
      <c r="A30" s="30">
        <v>29</v>
      </c>
      <c r="B30" s="30">
        <v>89</v>
      </c>
      <c r="C30" s="30" t="s">
        <v>158</v>
      </c>
      <c r="D30" s="30">
        <v>3</v>
      </c>
      <c r="E30" s="30">
        <v>82</v>
      </c>
      <c r="F30" s="30">
        <f t="shared" si="3"/>
        <v>24</v>
      </c>
      <c r="G30" s="30" t="str">
        <f t="shared" si="0"/>
        <v/>
      </c>
      <c r="K30" s="3">
        <f>(Environmental!G30-MIN(Environmental!$G$2:$G$101))/(MAX(Environmental!$G$2:$G$101)-MIN(Environmental!$G$2:$G$101))*100</f>
        <v>32.258064516129032</v>
      </c>
      <c r="L30" s="3">
        <f>(Social!C30-MIN(Social!$C$2:$C$101))/(MAX(Social!$C$2:$C$101)-MIN(Social!$C$2:$C$101))*100</f>
        <v>60</v>
      </c>
      <c r="M30" s="3">
        <f t="shared" si="1"/>
        <v>79.66101694915254</v>
      </c>
      <c r="N30" s="3">
        <f t="shared" si="2"/>
        <v>54.801530891197373</v>
      </c>
    </row>
    <row r="31" spans="1:14" x14ac:dyDescent="0.35">
      <c r="A31" s="30">
        <v>30</v>
      </c>
      <c r="B31" s="30">
        <v>92</v>
      </c>
      <c r="C31" s="30" t="s">
        <v>158</v>
      </c>
      <c r="D31" s="30">
        <v>1</v>
      </c>
      <c r="E31" s="30">
        <v>42</v>
      </c>
      <c r="F31" s="30">
        <f t="shared" si="3"/>
        <v>89</v>
      </c>
      <c r="G31" s="30" t="str">
        <f t="shared" si="0"/>
        <v/>
      </c>
      <c r="K31" s="3">
        <f>(Environmental!G31-MIN(Environmental!$G$2:$G$101))/(MAX(Environmental!$G$2:$G$101)-MIN(Environmental!$G$2:$G$101))*100</f>
        <v>37.634408602150536</v>
      </c>
      <c r="L31" s="3">
        <f>(Social!C31-MIN(Social!$C$2:$C$101))/(MAX(Social!$C$2:$C$101)-MIN(Social!$C$2:$C$101))*100</f>
        <v>24</v>
      </c>
      <c r="M31" s="3">
        <f t="shared" si="1"/>
        <v>11.864406779661017</v>
      </c>
      <c r="N31" s="3">
        <f t="shared" si="2"/>
        <v>25.81308547475852</v>
      </c>
    </row>
    <row r="32" spans="1:14" x14ac:dyDescent="0.35">
      <c r="A32" s="30">
        <v>31</v>
      </c>
      <c r="B32" s="30">
        <v>75</v>
      </c>
      <c r="C32" s="30" t="s">
        <v>155</v>
      </c>
      <c r="D32" s="30">
        <v>7</v>
      </c>
      <c r="E32" s="30">
        <v>62</v>
      </c>
      <c r="F32" s="30">
        <f t="shared" si="3"/>
        <v>56</v>
      </c>
      <c r="G32" s="30" t="str">
        <f t="shared" si="0"/>
        <v/>
      </c>
      <c r="K32" s="3">
        <f>(Environmental!G32-MIN(Environmental!$G$2:$G$101))/(MAX(Environmental!$G$2:$G$101)-MIN(Environmental!$G$2:$G$101))*100</f>
        <v>8.6021505376344098</v>
      </c>
      <c r="L32" s="3">
        <f>(Social!C32-MIN(Social!$C$2:$C$101))/(MAX(Social!$C$2:$C$101)-MIN(Social!$C$2:$C$101))*100</f>
        <v>30</v>
      </c>
      <c r="M32" s="3">
        <f t="shared" si="1"/>
        <v>45.762711864406782</v>
      </c>
      <c r="N32" s="3">
        <f t="shared" si="2"/>
        <v>26.169673774375799</v>
      </c>
    </row>
    <row r="33" spans="1:14" x14ac:dyDescent="0.35">
      <c r="A33" s="30">
        <v>32</v>
      </c>
      <c r="B33" s="30">
        <v>56</v>
      </c>
      <c r="C33" s="30" t="s">
        <v>155</v>
      </c>
      <c r="D33" s="30">
        <v>4</v>
      </c>
      <c r="E33" s="30">
        <v>40</v>
      </c>
      <c r="F33" s="30">
        <f t="shared" si="3"/>
        <v>94</v>
      </c>
      <c r="G33" s="30" t="str">
        <f t="shared" si="0"/>
        <v/>
      </c>
      <c r="K33" s="3">
        <f>(Environmental!G33-MIN(Environmental!$G$2:$G$101))/(MAX(Environmental!$G$2:$G$101)-MIN(Environmental!$G$2:$G$101))*100</f>
        <v>49.462365591397848</v>
      </c>
      <c r="L33" s="3">
        <f>(Social!C33-MIN(Social!$C$2:$C$101))/(MAX(Social!$C$2:$C$101)-MIN(Social!$C$2:$C$101))*100</f>
        <v>76</v>
      </c>
      <c r="M33" s="3">
        <f t="shared" si="1"/>
        <v>8.4745762711864394</v>
      </c>
      <c r="N33" s="3">
        <f t="shared" si="2"/>
        <v>45.127319117915071</v>
      </c>
    </row>
    <row r="34" spans="1:14" x14ac:dyDescent="0.35">
      <c r="A34" s="30">
        <v>33</v>
      </c>
      <c r="B34" s="30">
        <v>59</v>
      </c>
      <c r="C34" s="30" t="s">
        <v>155</v>
      </c>
      <c r="D34" s="30">
        <v>3</v>
      </c>
      <c r="E34" s="30">
        <v>93</v>
      </c>
      <c r="F34" s="30">
        <f t="shared" si="3"/>
        <v>3</v>
      </c>
      <c r="G34" s="30" t="str">
        <f t="shared" ref="G34:G65" si="4">IF(E34&gt;$I$1,"Top Performer", "")</f>
        <v>Top Performer</v>
      </c>
      <c r="K34" s="3">
        <f>(Environmental!G34-MIN(Environmental!$G$2:$G$101))/(MAX(Environmental!$G$2:$G$101)-MIN(Environmental!$G$2:$G$101))*100</f>
        <v>100</v>
      </c>
      <c r="L34" s="3">
        <f>(Social!C34-MIN(Social!$C$2:$C$101))/(MAX(Social!$C$2:$C$101)-MIN(Social!$C$2:$C$101))*100</f>
        <v>36</v>
      </c>
      <c r="M34" s="3">
        <f t="shared" ref="M34:M65" si="5">(E34-MIN($E$2:$E$101))/(MAX($E$2:$E$101)-MIN($E$2:$E$101))*100</f>
        <v>98.305084745762713</v>
      </c>
      <c r="N34" s="3">
        <f t="shared" ref="N34:N65" si="6">(0.4*K34)+(0.3*L34)+(0.3*M34)</f>
        <v>80.291525423728814</v>
      </c>
    </row>
    <row r="35" spans="1:14" x14ac:dyDescent="0.35">
      <c r="A35" s="30">
        <v>34</v>
      </c>
      <c r="B35" s="30">
        <v>70</v>
      </c>
      <c r="C35" s="30" t="s">
        <v>155</v>
      </c>
      <c r="D35" s="30">
        <v>8</v>
      </c>
      <c r="E35" s="30">
        <v>55</v>
      </c>
      <c r="F35" s="30">
        <f t="shared" si="3"/>
        <v>65</v>
      </c>
      <c r="G35" s="30" t="str">
        <f t="shared" si="4"/>
        <v/>
      </c>
      <c r="K35" s="3">
        <f>(Environmental!G35-MIN(Environmental!$G$2:$G$101))/(MAX(Environmental!$G$2:$G$101)-MIN(Environmental!$G$2:$G$101))*100</f>
        <v>79.569892473118273</v>
      </c>
      <c r="L35" s="3">
        <f>(Social!C35-MIN(Social!$C$2:$C$101))/(MAX(Social!$C$2:$C$101)-MIN(Social!$C$2:$C$101))*100</f>
        <v>22</v>
      </c>
      <c r="M35" s="3">
        <f t="shared" si="5"/>
        <v>33.898305084745758</v>
      </c>
      <c r="N35" s="3">
        <f t="shared" si="6"/>
        <v>48.597448514671044</v>
      </c>
    </row>
    <row r="36" spans="1:14" x14ac:dyDescent="0.35">
      <c r="A36" s="30">
        <v>35</v>
      </c>
      <c r="B36" s="30">
        <v>87</v>
      </c>
      <c r="C36" s="30" t="s">
        <v>155</v>
      </c>
      <c r="D36" s="30">
        <v>10</v>
      </c>
      <c r="E36" s="30">
        <v>89</v>
      </c>
      <c r="F36" s="30">
        <f t="shared" si="3"/>
        <v>9</v>
      </c>
      <c r="G36" s="30" t="str">
        <f t="shared" si="4"/>
        <v>Top Performer</v>
      </c>
      <c r="K36" s="3">
        <f>(Environmental!G36-MIN(Environmental!$G$2:$G$101))/(MAX(Environmental!$G$2:$G$101)-MIN(Environmental!$G$2:$G$101))*100</f>
        <v>36.55913978494624</v>
      </c>
      <c r="L36" s="3">
        <f>(Social!C36-MIN(Social!$C$2:$C$101))/(MAX(Social!$C$2:$C$101)-MIN(Social!$C$2:$C$101))*100</f>
        <v>26</v>
      </c>
      <c r="M36" s="3">
        <f t="shared" si="5"/>
        <v>91.525423728813564</v>
      </c>
      <c r="N36" s="3">
        <f t="shared" si="6"/>
        <v>49.881283032622562</v>
      </c>
    </row>
    <row r="37" spans="1:14" x14ac:dyDescent="0.35">
      <c r="A37" s="30">
        <v>36</v>
      </c>
      <c r="B37" s="30">
        <v>48</v>
      </c>
      <c r="C37" s="30" t="s">
        <v>155</v>
      </c>
      <c r="D37" s="30">
        <v>8</v>
      </c>
      <c r="E37" s="30">
        <v>89</v>
      </c>
      <c r="F37" s="30">
        <f t="shared" si="3"/>
        <v>9</v>
      </c>
      <c r="G37" s="30" t="str">
        <f t="shared" si="4"/>
        <v>Top Performer</v>
      </c>
      <c r="K37" s="3">
        <f>(Environmental!G37-MIN(Environmental!$G$2:$G$101))/(MAX(Environmental!$G$2:$G$101)-MIN(Environmental!$G$2:$G$101))*100</f>
        <v>3.225806451612903</v>
      </c>
      <c r="L37" s="3">
        <f>(Social!C37-MIN(Social!$C$2:$C$101))/(MAX(Social!$C$2:$C$101)-MIN(Social!$C$2:$C$101))*100</f>
        <v>98</v>
      </c>
      <c r="M37" s="3">
        <f t="shared" si="5"/>
        <v>91.525423728813564</v>
      </c>
      <c r="N37" s="3">
        <f t="shared" si="6"/>
        <v>58.147949699289228</v>
      </c>
    </row>
    <row r="38" spans="1:14" x14ac:dyDescent="0.35">
      <c r="A38" s="30">
        <v>37</v>
      </c>
      <c r="B38" s="30">
        <v>78</v>
      </c>
      <c r="C38" s="30" t="s">
        <v>155</v>
      </c>
      <c r="D38" s="30">
        <v>6</v>
      </c>
      <c r="E38" s="30">
        <v>89</v>
      </c>
      <c r="F38" s="30">
        <f t="shared" si="3"/>
        <v>9</v>
      </c>
      <c r="G38" s="30" t="str">
        <f t="shared" si="4"/>
        <v>Top Performer</v>
      </c>
      <c r="K38" s="3">
        <f>(Environmental!G38-MIN(Environmental!$G$2:$G$101))/(MAX(Environmental!$G$2:$G$101)-MIN(Environmental!$G$2:$G$101))*100</f>
        <v>72.043010752688176</v>
      </c>
      <c r="L38" s="3">
        <f>(Social!C38-MIN(Social!$C$2:$C$101))/(MAX(Social!$C$2:$C$101)-MIN(Social!$C$2:$C$101))*100</f>
        <v>22</v>
      </c>
      <c r="M38" s="3">
        <f t="shared" si="5"/>
        <v>91.525423728813564</v>
      </c>
      <c r="N38" s="3">
        <f t="shared" si="6"/>
        <v>62.874831419719342</v>
      </c>
    </row>
    <row r="39" spans="1:14" x14ac:dyDescent="0.35">
      <c r="A39" s="30">
        <v>38</v>
      </c>
      <c r="B39" s="30">
        <v>86</v>
      </c>
      <c r="C39" s="30" t="s">
        <v>158</v>
      </c>
      <c r="D39" s="30">
        <v>10</v>
      </c>
      <c r="E39" s="30">
        <v>51</v>
      </c>
      <c r="F39" s="30">
        <f t="shared" si="3"/>
        <v>71</v>
      </c>
      <c r="G39" s="30" t="str">
        <f t="shared" si="4"/>
        <v/>
      </c>
      <c r="K39" s="3">
        <f>(Environmental!G39-MIN(Environmental!$G$2:$G$101))/(MAX(Environmental!$G$2:$G$101)-MIN(Environmental!$G$2:$G$101))*100</f>
        <v>38.70967741935484</v>
      </c>
      <c r="L39" s="3">
        <f>(Social!C39-MIN(Social!$C$2:$C$101))/(MAX(Social!$C$2:$C$101)-MIN(Social!$C$2:$C$101))*100</f>
        <v>56.000000000000007</v>
      </c>
      <c r="M39" s="3">
        <f t="shared" si="5"/>
        <v>27.118644067796609</v>
      </c>
      <c r="N39" s="3">
        <f t="shared" si="6"/>
        <v>40.419464188080916</v>
      </c>
    </row>
    <row r="40" spans="1:14" x14ac:dyDescent="0.35">
      <c r="A40" s="30">
        <v>39</v>
      </c>
      <c r="B40" s="30">
        <v>66</v>
      </c>
      <c r="C40" s="30" t="s">
        <v>158</v>
      </c>
      <c r="D40" s="30">
        <v>7</v>
      </c>
      <c r="E40" s="30">
        <v>49</v>
      </c>
      <c r="F40" s="30">
        <f t="shared" si="3"/>
        <v>77</v>
      </c>
      <c r="G40" s="30" t="str">
        <f t="shared" si="4"/>
        <v/>
      </c>
      <c r="K40" s="3">
        <f>(Environmental!G40-MIN(Environmental!$G$2:$G$101))/(MAX(Environmental!$G$2:$G$101)-MIN(Environmental!$G$2:$G$101))*100</f>
        <v>77.41935483870968</v>
      </c>
      <c r="L40" s="3">
        <f>(Social!C40-MIN(Social!$C$2:$C$101))/(MAX(Social!$C$2:$C$101)-MIN(Social!$C$2:$C$101))*100</f>
        <v>22</v>
      </c>
      <c r="M40" s="3">
        <f t="shared" si="5"/>
        <v>23.728813559322035</v>
      </c>
      <c r="N40" s="3">
        <f t="shared" si="6"/>
        <v>44.686386003280482</v>
      </c>
    </row>
    <row r="41" spans="1:14" x14ac:dyDescent="0.35">
      <c r="A41" s="30">
        <v>40</v>
      </c>
      <c r="B41" s="30">
        <v>45</v>
      </c>
      <c r="C41" s="30" t="s">
        <v>155</v>
      </c>
      <c r="D41" s="30">
        <v>3</v>
      </c>
      <c r="E41" s="30">
        <v>41</v>
      </c>
      <c r="F41" s="30">
        <f t="shared" si="3"/>
        <v>90</v>
      </c>
      <c r="G41" s="30" t="str">
        <f t="shared" si="4"/>
        <v/>
      </c>
      <c r="K41" s="3">
        <f>(Environmental!G41-MIN(Environmental!$G$2:$G$101))/(MAX(Environmental!$G$2:$G$101)-MIN(Environmental!$G$2:$G$101))*100</f>
        <v>29.032258064516132</v>
      </c>
      <c r="L41" s="3">
        <f>(Social!C41-MIN(Social!$C$2:$C$101))/(MAX(Social!$C$2:$C$101)-MIN(Social!$C$2:$C$101))*100</f>
        <v>80</v>
      </c>
      <c r="M41" s="3">
        <f t="shared" si="5"/>
        <v>10.16949152542373</v>
      </c>
      <c r="N41" s="3">
        <f t="shared" si="6"/>
        <v>38.663750683433577</v>
      </c>
    </row>
    <row r="42" spans="1:14" x14ac:dyDescent="0.35">
      <c r="A42" s="30">
        <v>41</v>
      </c>
      <c r="B42" s="30">
        <v>90</v>
      </c>
      <c r="C42" s="30" t="s">
        <v>158</v>
      </c>
      <c r="D42" s="30">
        <v>8</v>
      </c>
      <c r="E42" s="30">
        <v>48</v>
      </c>
      <c r="F42" s="30">
        <f t="shared" si="3"/>
        <v>78</v>
      </c>
      <c r="G42" s="30" t="str">
        <f t="shared" si="4"/>
        <v/>
      </c>
      <c r="K42" s="3">
        <f>(Environmental!G42-MIN(Environmental!$G$2:$G$101))/(MAX(Environmental!$G$2:$G$101)-MIN(Environmental!$G$2:$G$101))*100</f>
        <v>38.70967741935484</v>
      </c>
      <c r="L42" s="3">
        <f>(Social!C42-MIN(Social!$C$2:$C$101))/(MAX(Social!$C$2:$C$101)-MIN(Social!$C$2:$C$101))*100</f>
        <v>52</v>
      </c>
      <c r="M42" s="3">
        <f t="shared" si="5"/>
        <v>22.033898305084744</v>
      </c>
      <c r="N42" s="3">
        <f t="shared" si="6"/>
        <v>37.694040459267363</v>
      </c>
    </row>
    <row r="43" spans="1:14" x14ac:dyDescent="0.35">
      <c r="A43" s="30">
        <v>42</v>
      </c>
      <c r="B43" s="30">
        <v>47</v>
      </c>
      <c r="C43" s="30" t="s">
        <v>158</v>
      </c>
      <c r="D43" s="30">
        <v>2</v>
      </c>
      <c r="E43" s="30">
        <v>70</v>
      </c>
      <c r="F43" s="30">
        <f t="shared" si="3"/>
        <v>40</v>
      </c>
      <c r="G43" s="30" t="str">
        <f t="shared" si="4"/>
        <v/>
      </c>
      <c r="K43" s="3">
        <f>(Environmental!G43-MIN(Environmental!$G$2:$G$101))/(MAX(Environmental!$G$2:$G$101)-MIN(Environmental!$G$2:$G$101))*100</f>
        <v>24.731182795698924</v>
      </c>
      <c r="L43" s="3">
        <f>(Social!C43-MIN(Social!$C$2:$C$101))/(MAX(Social!$C$2:$C$101)-MIN(Social!$C$2:$C$101))*100</f>
        <v>94</v>
      </c>
      <c r="M43" s="3">
        <f t="shared" si="5"/>
        <v>59.322033898305079</v>
      </c>
      <c r="N43" s="3">
        <f t="shared" si="6"/>
        <v>55.889083287771093</v>
      </c>
    </row>
    <row r="44" spans="1:14" x14ac:dyDescent="0.35">
      <c r="A44" s="30">
        <v>43</v>
      </c>
      <c r="B44" s="30">
        <v>62</v>
      </c>
      <c r="C44" s="30" t="s">
        <v>158</v>
      </c>
      <c r="D44" s="30">
        <v>8</v>
      </c>
      <c r="E44" s="30">
        <v>81</v>
      </c>
      <c r="F44" s="30">
        <f t="shared" si="3"/>
        <v>27</v>
      </c>
      <c r="G44" s="30" t="str">
        <f t="shared" si="4"/>
        <v/>
      </c>
      <c r="K44" s="3">
        <f>(Environmental!G44-MIN(Environmental!$G$2:$G$101))/(MAX(Environmental!$G$2:$G$101)-MIN(Environmental!$G$2:$G$101))*100</f>
        <v>94.623655913978496</v>
      </c>
      <c r="L44" s="3">
        <f>(Social!C44-MIN(Social!$C$2:$C$101))/(MAX(Social!$C$2:$C$101)-MIN(Social!$C$2:$C$101))*100</f>
        <v>60</v>
      </c>
      <c r="M44" s="3">
        <f t="shared" si="5"/>
        <v>77.966101694915253</v>
      </c>
      <c r="N44" s="3">
        <f t="shared" si="6"/>
        <v>79.239292874065967</v>
      </c>
    </row>
    <row r="45" spans="1:14" x14ac:dyDescent="0.35">
      <c r="A45" s="30">
        <v>44</v>
      </c>
      <c r="B45" s="30">
        <v>95</v>
      </c>
      <c r="C45" s="30" t="s">
        <v>158</v>
      </c>
      <c r="D45" s="30">
        <v>9</v>
      </c>
      <c r="E45" s="30">
        <v>71</v>
      </c>
      <c r="F45" s="30">
        <f t="shared" si="3"/>
        <v>38</v>
      </c>
      <c r="G45" s="30" t="str">
        <f t="shared" si="4"/>
        <v/>
      </c>
      <c r="K45" s="3">
        <f>(Environmental!G45-MIN(Environmental!$G$2:$G$101))/(MAX(Environmental!$G$2:$G$101)-MIN(Environmental!$G$2:$G$101))*100</f>
        <v>51.612903225806448</v>
      </c>
      <c r="L45" s="3">
        <f>(Social!C45-MIN(Social!$C$2:$C$101))/(MAX(Social!$C$2:$C$101)-MIN(Social!$C$2:$C$101))*100</f>
        <v>6</v>
      </c>
      <c r="M45" s="3">
        <f t="shared" si="5"/>
        <v>61.016949152542374</v>
      </c>
      <c r="N45" s="3">
        <f t="shared" si="6"/>
        <v>40.750246036085294</v>
      </c>
    </row>
    <row r="46" spans="1:14" x14ac:dyDescent="0.35">
      <c r="A46" s="30">
        <v>45</v>
      </c>
      <c r="B46" s="30">
        <v>66</v>
      </c>
      <c r="C46" s="30" t="s">
        <v>155</v>
      </c>
      <c r="D46" s="30">
        <v>9</v>
      </c>
      <c r="E46" s="30">
        <v>54</v>
      </c>
      <c r="F46" s="30">
        <f t="shared" si="3"/>
        <v>67</v>
      </c>
      <c r="G46" s="30" t="str">
        <f t="shared" si="4"/>
        <v/>
      </c>
      <c r="K46" s="3">
        <f>(Environmental!G46-MIN(Environmental!$G$2:$G$101))/(MAX(Environmental!$G$2:$G$101)-MIN(Environmental!$G$2:$G$101))*100</f>
        <v>3.225806451612903</v>
      </c>
      <c r="L46" s="3">
        <f>(Social!C46-MIN(Social!$C$2:$C$101))/(MAX(Social!$C$2:$C$101)-MIN(Social!$C$2:$C$101))*100</f>
        <v>76</v>
      </c>
      <c r="M46" s="3">
        <f t="shared" si="5"/>
        <v>32.20338983050847</v>
      </c>
      <c r="N46" s="3">
        <f t="shared" si="6"/>
        <v>33.751339529797704</v>
      </c>
    </row>
    <row r="47" spans="1:14" x14ac:dyDescent="0.35">
      <c r="A47" s="30">
        <v>46</v>
      </c>
      <c r="B47" s="30">
        <v>82</v>
      </c>
      <c r="C47" s="30" t="s">
        <v>155</v>
      </c>
      <c r="D47" s="30">
        <v>2</v>
      </c>
      <c r="E47" s="30">
        <v>60</v>
      </c>
      <c r="F47" s="30">
        <f t="shared" si="3"/>
        <v>61</v>
      </c>
      <c r="G47" s="30" t="str">
        <f t="shared" si="4"/>
        <v/>
      </c>
      <c r="K47" s="3">
        <f>(Environmental!G47-MIN(Environmental!$G$2:$G$101))/(MAX(Environmental!$G$2:$G$101)-MIN(Environmental!$G$2:$G$101))*100</f>
        <v>1.0752688172043012</v>
      </c>
      <c r="L47" s="3">
        <f>(Social!C47-MIN(Social!$C$2:$C$101))/(MAX(Social!$C$2:$C$101)-MIN(Social!$C$2:$C$101))*100</f>
        <v>30</v>
      </c>
      <c r="M47" s="3">
        <f t="shared" si="5"/>
        <v>42.372881355932201</v>
      </c>
      <c r="N47" s="3">
        <f t="shared" si="6"/>
        <v>22.141971933661381</v>
      </c>
    </row>
    <row r="48" spans="1:14" x14ac:dyDescent="0.35">
      <c r="A48" s="30">
        <v>47</v>
      </c>
      <c r="B48" s="30">
        <v>93</v>
      </c>
      <c r="C48" s="30" t="s">
        <v>158</v>
      </c>
      <c r="D48" s="30">
        <v>6</v>
      </c>
      <c r="E48" s="30">
        <v>86</v>
      </c>
      <c r="F48" s="30">
        <f t="shared" si="3"/>
        <v>18</v>
      </c>
      <c r="G48" s="30" t="str">
        <f t="shared" si="4"/>
        <v>Top Performer</v>
      </c>
      <c r="K48" s="3">
        <f>(Environmental!G48-MIN(Environmental!$G$2:$G$101))/(MAX(Environmental!$G$2:$G$101)-MIN(Environmental!$G$2:$G$101))*100</f>
        <v>50.537634408602152</v>
      </c>
      <c r="L48" s="3">
        <f>(Social!C48-MIN(Social!$C$2:$C$101))/(MAX(Social!$C$2:$C$101)-MIN(Social!$C$2:$C$101))*100</f>
        <v>78</v>
      </c>
      <c r="M48" s="3">
        <f t="shared" si="5"/>
        <v>86.440677966101703</v>
      </c>
      <c r="N48" s="3">
        <f t="shared" si="6"/>
        <v>69.547257153271374</v>
      </c>
    </row>
    <row r="49" spans="1:14" x14ac:dyDescent="0.35">
      <c r="A49" s="30">
        <v>48</v>
      </c>
      <c r="B49" s="30">
        <v>74</v>
      </c>
      <c r="C49" s="30" t="s">
        <v>155</v>
      </c>
      <c r="D49" s="30">
        <v>0</v>
      </c>
      <c r="E49" s="30">
        <v>48</v>
      </c>
      <c r="F49" s="30">
        <f t="shared" si="3"/>
        <v>78</v>
      </c>
      <c r="G49" s="30" t="str">
        <f t="shared" si="4"/>
        <v/>
      </c>
      <c r="K49" s="3">
        <f>(Environmental!G49-MIN(Environmental!$G$2:$G$101))/(MAX(Environmental!$G$2:$G$101)-MIN(Environmental!$G$2:$G$101))*100</f>
        <v>29.032258064516132</v>
      </c>
      <c r="L49" s="3">
        <f>(Social!C49-MIN(Social!$C$2:$C$101))/(MAX(Social!$C$2:$C$101)-MIN(Social!$C$2:$C$101))*100</f>
        <v>36</v>
      </c>
      <c r="M49" s="3">
        <f t="shared" si="5"/>
        <v>22.033898305084744</v>
      </c>
      <c r="N49" s="3">
        <f t="shared" si="6"/>
        <v>29.023072717331875</v>
      </c>
    </row>
    <row r="50" spans="1:14" x14ac:dyDescent="0.35">
      <c r="A50" s="30">
        <v>49</v>
      </c>
      <c r="B50" s="30">
        <v>58</v>
      </c>
      <c r="C50" s="30" t="s">
        <v>155</v>
      </c>
      <c r="D50" s="30">
        <v>6</v>
      </c>
      <c r="E50" s="30">
        <v>78</v>
      </c>
      <c r="F50" s="30">
        <f t="shared" si="3"/>
        <v>30</v>
      </c>
      <c r="G50" s="30" t="str">
        <f t="shared" si="4"/>
        <v/>
      </c>
      <c r="K50" s="3">
        <f>(Environmental!G50-MIN(Environmental!$G$2:$G$101))/(MAX(Environmental!$G$2:$G$101)-MIN(Environmental!$G$2:$G$101))*100</f>
        <v>2.1505376344086025</v>
      </c>
      <c r="L50" s="3">
        <f>(Social!C50-MIN(Social!$C$2:$C$101))/(MAX(Social!$C$2:$C$101)-MIN(Social!$C$2:$C$101))*100</f>
        <v>36</v>
      </c>
      <c r="M50" s="3">
        <f t="shared" si="5"/>
        <v>72.881355932203391</v>
      </c>
      <c r="N50" s="3">
        <f t="shared" si="6"/>
        <v>33.524621833424462</v>
      </c>
    </row>
    <row r="51" spans="1:14" x14ac:dyDescent="0.35">
      <c r="A51" s="30">
        <v>50</v>
      </c>
      <c r="B51" s="30">
        <v>95</v>
      </c>
      <c r="C51" s="30" t="s">
        <v>155</v>
      </c>
      <c r="D51" s="30">
        <v>3</v>
      </c>
      <c r="E51" s="30">
        <v>45</v>
      </c>
      <c r="F51" s="30">
        <f t="shared" si="3"/>
        <v>85</v>
      </c>
      <c r="G51" s="30" t="str">
        <f t="shared" si="4"/>
        <v/>
      </c>
      <c r="K51" s="3">
        <f>(Environmental!G51-MIN(Environmental!$G$2:$G$101))/(MAX(Environmental!$G$2:$G$101)-MIN(Environmental!$G$2:$G$101))*100</f>
        <v>12.903225806451612</v>
      </c>
      <c r="L51" s="3">
        <f>(Social!C51-MIN(Social!$C$2:$C$101))/(MAX(Social!$C$2:$C$101)-MIN(Social!$C$2:$C$101))*100</f>
        <v>12</v>
      </c>
      <c r="M51" s="3">
        <f t="shared" si="5"/>
        <v>16.949152542372879</v>
      </c>
      <c r="N51" s="3">
        <f t="shared" si="6"/>
        <v>13.846036085292509</v>
      </c>
    </row>
    <row r="52" spans="1:14" x14ac:dyDescent="0.35">
      <c r="A52" s="30">
        <v>51</v>
      </c>
      <c r="B52" s="30">
        <v>99</v>
      </c>
      <c r="C52" s="30" t="s">
        <v>155</v>
      </c>
      <c r="D52" s="30">
        <v>1</v>
      </c>
      <c r="E52" s="30">
        <v>59</v>
      </c>
      <c r="F52" s="30">
        <f t="shared" si="3"/>
        <v>62</v>
      </c>
      <c r="G52" s="30" t="str">
        <f t="shared" si="4"/>
        <v/>
      </c>
      <c r="K52" s="3">
        <f>(Environmental!G52-MIN(Environmental!$G$2:$G$101))/(MAX(Environmental!$G$2:$G$101)-MIN(Environmental!$G$2:$G$101))*100</f>
        <v>53.763440860215049</v>
      </c>
      <c r="L52" s="3">
        <f>(Social!C52-MIN(Social!$C$2:$C$101))/(MAX(Social!$C$2:$C$101)-MIN(Social!$C$2:$C$101))*100</f>
        <v>10</v>
      </c>
      <c r="M52" s="3">
        <f t="shared" si="5"/>
        <v>40.677966101694921</v>
      </c>
      <c r="N52" s="3">
        <f t="shared" si="6"/>
        <v>36.708766174594494</v>
      </c>
    </row>
    <row r="53" spans="1:14" x14ac:dyDescent="0.35">
      <c r="A53" s="30">
        <v>52</v>
      </c>
      <c r="B53" s="30">
        <v>85</v>
      </c>
      <c r="C53" s="30" t="s">
        <v>155</v>
      </c>
      <c r="D53" s="30">
        <v>7</v>
      </c>
      <c r="E53" s="30">
        <v>87</v>
      </c>
      <c r="F53" s="30">
        <f t="shared" si="3"/>
        <v>16</v>
      </c>
      <c r="G53" s="30" t="str">
        <f t="shared" si="4"/>
        <v>Top Performer</v>
      </c>
      <c r="K53" s="3">
        <f>(Environmental!G53-MIN(Environmental!$G$2:$G$101))/(MAX(Environmental!$G$2:$G$101)-MIN(Environmental!$G$2:$G$101))*100</f>
        <v>54.838709677419352</v>
      </c>
      <c r="L53" s="3">
        <f>(Social!C53-MIN(Social!$C$2:$C$101))/(MAX(Social!$C$2:$C$101)-MIN(Social!$C$2:$C$101))*100</f>
        <v>18</v>
      </c>
      <c r="M53" s="3">
        <f t="shared" si="5"/>
        <v>88.135593220338976</v>
      </c>
      <c r="N53" s="3">
        <f t="shared" si="6"/>
        <v>53.776161837069438</v>
      </c>
    </row>
    <row r="54" spans="1:14" x14ac:dyDescent="0.35">
      <c r="A54" s="30">
        <v>53</v>
      </c>
      <c r="B54" s="30">
        <v>88</v>
      </c>
      <c r="C54" s="30" t="s">
        <v>155</v>
      </c>
      <c r="D54" s="30">
        <v>6</v>
      </c>
      <c r="E54" s="30">
        <v>48</v>
      </c>
      <c r="F54" s="30">
        <f t="shared" si="3"/>
        <v>78</v>
      </c>
      <c r="G54" s="30" t="str">
        <f t="shared" si="4"/>
        <v/>
      </c>
      <c r="K54" s="3">
        <f>(Environmental!G54-MIN(Environmental!$G$2:$G$101))/(MAX(Environmental!$G$2:$G$101)-MIN(Environmental!$G$2:$G$101))*100</f>
        <v>78.494623655913969</v>
      </c>
      <c r="L54" s="3">
        <f>(Social!C54-MIN(Social!$C$2:$C$101))/(MAX(Social!$C$2:$C$101)-MIN(Social!$C$2:$C$101))*100</f>
        <v>88</v>
      </c>
      <c r="M54" s="3">
        <f t="shared" si="5"/>
        <v>22.033898305084744</v>
      </c>
      <c r="N54" s="3">
        <f t="shared" si="6"/>
        <v>64.408018953891016</v>
      </c>
    </row>
    <row r="55" spans="1:14" x14ac:dyDescent="0.35">
      <c r="A55" s="30">
        <v>54</v>
      </c>
      <c r="B55" s="30">
        <v>53</v>
      </c>
      <c r="C55" s="30" t="s">
        <v>158</v>
      </c>
      <c r="D55" s="30">
        <v>7</v>
      </c>
      <c r="E55" s="30">
        <v>94</v>
      </c>
      <c r="F55" s="30">
        <f t="shared" si="3"/>
        <v>1</v>
      </c>
      <c r="G55" s="30" t="str">
        <f t="shared" si="4"/>
        <v>Top Performer</v>
      </c>
      <c r="K55" s="3">
        <f>(Environmental!G55-MIN(Environmental!$G$2:$G$101))/(MAX(Environmental!$G$2:$G$101)-MIN(Environmental!$G$2:$G$101))*100</f>
        <v>4.3010752688172049</v>
      </c>
      <c r="L55" s="3">
        <f>(Social!C55-MIN(Social!$C$2:$C$101))/(MAX(Social!$C$2:$C$101)-MIN(Social!$C$2:$C$101))*100</f>
        <v>92</v>
      </c>
      <c r="M55" s="3">
        <f t="shared" si="5"/>
        <v>100</v>
      </c>
      <c r="N55" s="3">
        <f t="shared" si="6"/>
        <v>59.320430107526882</v>
      </c>
    </row>
    <row r="56" spans="1:14" x14ac:dyDescent="0.35">
      <c r="A56" s="30">
        <v>55</v>
      </c>
      <c r="B56" s="30">
        <v>98</v>
      </c>
      <c r="C56" s="30" t="s">
        <v>155</v>
      </c>
      <c r="D56" s="30">
        <v>6</v>
      </c>
      <c r="E56" s="30">
        <v>87</v>
      </c>
      <c r="F56" s="30">
        <f t="shared" si="3"/>
        <v>16</v>
      </c>
      <c r="G56" s="30" t="str">
        <f t="shared" si="4"/>
        <v>Top Performer</v>
      </c>
      <c r="K56" s="3">
        <f>(Environmental!G56-MIN(Environmental!$G$2:$G$101))/(MAX(Environmental!$G$2:$G$101)-MIN(Environmental!$G$2:$G$101))*100</f>
        <v>30.107526881720432</v>
      </c>
      <c r="L56" s="3">
        <f>(Social!C56-MIN(Social!$C$2:$C$101))/(MAX(Social!$C$2:$C$101)-MIN(Social!$C$2:$C$101))*100</f>
        <v>88</v>
      </c>
      <c r="M56" s="3">
        <f t="shared" si="5"/>
        <v>88.135593220338976</v>
      </c>
      <c r="N56" s="3">
        <f t="shared" si="6"/>
        <v>64.88368871878987</v>
      </c>
    </row>
    <row r="57" spans="1:14" x14ac:dyDescent="0.35">
      <c r="A57" s="30">
        <v>56</v>
      </c>
      <c r="B57" s="30">
        <v>46</v>
      </c>
      <c r="C57" s="30" t="s">
        <v>158</v>
      </c>
      <c r="D57" s="30">
        <v>10</v>
      </c>
      <c r="E57" s="30">
        <v>41</v>
      </c>
      <c r="F57" s="30">
        <f t="shared" si="3"/>
        <v>90</v>
      </c>
      <c r="G57" s="30" t="str">
        <f t="shared" si="4"/>
        <v/>
      </c>
      <c r="K57" s="3">
        <f>(Environmental!G57-MIN(Environmental!$G$2:$G$101))/(MAX(Environmental!$G$2:$G$101)-MIN(Environmental!$G$2:$G$101))*100</f>
        <v>66.666666666666657</v>
      </c>
      <c r="L57" s="3">
        <f>(Social!C57-MIN(Social!$C$2:$C$101))/(MAX(Social!$C$2:$C$101)-MIN(Social!$C$2:$C$101))*100</f>
        <v>34</v>
      </c>
      <c r="M57" s="3">
        <f t="shared" si="5"/>
        <v>10.16949152542373</v>
      </c>
      <c r="N57" s="3">
        <f t="shared" si="6"/>
        <v>39.917514124293781</v>
      </c>
    </row>
    <row r="58" spans="1:14" x14ac:dyDescent="0.35">
      <c r="A58" s="30">
        <v>57</v>
      </c>
      <c r="B58" s="30">
        <v>69</v>
      </c>
      <c r="C58" s="30" t="s">
        <v>155</v>
      </c>
      <c r="D58" s="30">
        <v>7</v>
      </c>
      <c r="E58" s="30">
        <v>90</v>
      </c>
      <c r="F58" s="30">
        <f t="shared" si="3"/>
        <v>8</v>
      </c>
      <c r="G58" s="30" t="str">
        <f t="shared" si="4"/>
        <v>Top Performer</v>
      </c>
      <c r="K58" s="3">
        <f>(Environmental!G58-MIN(Environmental!$G$2:$G$101))/(MAX(Environmental!$G$2:$G$101)-MIN(Environmental!$G$2:$G$101))*100</f>
        <v>36.55913978494624</v>
      </c>
      <c r="L58" s="3">
        <f>(Social!C58-MIN(Social!$C$2:$C$101))/(MAX(Social!$C$2:$C$101)-MIN(Social!$C$2:$C$101))*100</f>
        <v>38</v>
      </c>
      <c r="M58" s="3">
        <f t="shared" si="5"/>
        <v>93.220338983050837</v>
      </c>
      <c r="N58" s="3">
        <f t="shared" si="6"/>
        <v>53.98975760889374</v>
      </c>
    </row>
    <row r="59" spans="1:14" x14ac:dyDescent="0.35">
      <c r="A59" s="30">
        <v>58</v>
      </c>
      <c r="B59" s="30">
        <v>94</v>
      </c>
      <c r="C59" s="30" t="s">
        <v>155</v>
      </c>
      <c r="D59" s="30">
        <v>10</v>
      </c>
      <c r="E59" s="30">
        <v>70</v>
      </c>
      <c r="F59" s="30">
        <f t="shared" si="3"/>
        <v>40</v>
      </c>
      <c r="G59" s="30" t="str">
        <f t="shared" si="4"/>
        <v/>
      </c>
      <c r="K59" s="3">
        <f>(Environmental!G59-MIN(Environmental!$G$2:$G$101))/(MAX(Environmental!$G$2:$G$101)-MIN(Environmental!$G$2:$G$101))*100</f>
        <v>0</v>
      </c>
      <c r="L59" s="3">
        <f>(Social!C59-MIN(Social!$C$2:$C$101))/(MAX(Social!$C$2:$C$101)-MIN(Social!$C$2:$C$101))*100</f>
        <v>0</v>
      </c>
      <c r="M59" s="3">
        <f t="shared" si="5"/>
        <v>59.322033898305079</v>
      </c>
      <c r="N59" s="3">
        <f t="shared" si="6"/>
        <v>17.796610169491522</v>
      </c>
    </row>
    <row r="60" spans="1:14" x14ac:dyDescent="0.35">
      <c r="A60" s="30">
        <v>59</v>
      </c>
      <c r="B60" s="30">
        <v>50</v>
      </c>
      <c r="C60" s="30" t="s">
        <v>155</v>
      </c>
      <c r="D60" s="30">
        <v>1</v>
      </c>
      <c r="E60" s="30">
        <v>92</v>
      </c>
      <c r="F60" s="30">
        <f t="shared" si="3"/>
        <v>5</v>
      </c>
      <c r="G60" s="30" t="str">
        <f t="shared" si="4"/>
        <v>Top Performer</v>
      </c>
      <c r="K60" s="3">
        <f>(Environmental!G60-MIN(Environmental!$G$2:$G$101))/(MAX(Environmental!$G$2:$G$101)-MIN(Environmental!$G$2:$G$101))*100</f>
        <v>88.172043010752688</v>
      </c>
      <c r="L60" s="3">
        <f>(Social!C60-MIN(Social!$C$2:$C$101))/(MAX(Social!$C$2:$C$101)-MIN(Social!$C$2:$C$101))*100</f>
        <v>22</v>
      </c>
      <c r="M60" s="3">
        <f t="shared" si="5"/>
        <v>96.610169491525426</v>
      </c>
      <c r="N60" s="3">
        <f t="shared" si="6"/>
        <v>70.851868051758714</v>
      </c>
    </row>
    <row r="61" spans="1:14" x14ac:dyDescent="0.35">
      <c r="A61" s="30">
        <v>60</v>
      </c>
      <c r="B61" s="30">
        <v>43</v>
      </c>
      <c r="C61" s="30" t="s">
        <v>155</v>
      </c>
      <c r="D61" s="30">
        <v>3</v>
      </c>
      <c r="E61" s="30">
        <v>70</v>
      </c>
      <c r="F61" s="30">
        <f t="shared" si="3"/>
        <v>40</v>
      </c>
      <c r="G61" s="30" t="str">
        <f t="shared" si="4"/>
        <v/>
      </c>
      <c r="K61" s="3">
        <f>(Environmental!G61-MIN(Environmental!$G$2:$G$101))/(MAX(Environmental!$G$2:$G$101)-MIN(Environmental!$G$2:$G$101))*100</f>
        <v>56.98924731182796</v>
      </c>
      <c r="L61" s="3">
        <f>(Social!C61-MIN(Social!$C$2:$C$101))/(MAX(Social!$C$2:$C$101)-MIN(Social!$C$2:$C$101))*100</f>
        <v>50</v>
      </c>
      <c r="M61" s="3">
        <f t="shared" si="5"/>
        <v>59.322033898305079</v>
      </c>
      <c r="N61" s="3">
        <f t="shared" si="6"/>
        <v>55.592309094222706</v>
      </c>
    </row>
    <row r="62" spans="1:14" x14ac:dyDescent="0.35">
      <c r="A62" s="30">
        <v>61</v>
      </c>
      <c r="B62" s="30">
        <v>67</v>
      </c>
      <c r="C62" s="30" t="s">
        <v>155</v>
      </c>
      <c r="D62" s="30">
        <v>10</v>
      </c>
      <c r="E62" s="30">
        <v>55</v>
      </c>
      <c r="F62" s="30">
        <f t="shared" si="3"/>
        <v>65</v>
      </c>
      <c r="G62" s="30" t="str">
        <f t="shared" si="4"/>
        <v/>
      </c>
      <c r="K62" s="3">
        <f>(Environmental!G62-MIN(Environmental!$G$2:$G$101))/(MAX(Environmental!$G$2:$G$101)-MIN(Environmental!$G$2:$G$101))*100</f>
        <v>15.053763440860216</v>
      </c>
      <c r="L62" s="3">
        <f>(Social!C62-MIN(Social!$C$2:$C$101))/(MAX(Social!$C$2:$C$101)-MIN(Social!$C$2:$C$101))*100</f>
        <v>4</v>
      </c>
      <c r="M62" s="3">
        <f t="shared" si="5"/>
        <v>33.898305084745758</v>
      </c>
      <c r="N62" s="3">
        <f t="shared" si="6"/>
        <v>17.390996901767814</v>
      </c>
    </row>
    <row r="63" spans="1:14" x14ac:dyDescent="0.35">
      <c r="A63" s="30">
        <v>62</v>
      </c>
      <c r="B63" s="30">
        <v>83</v>
      </c>
      <c r="C63" s="30" t="s">
        <v>155</v>
      </c>
      <c r="D63" s="30">
        <v>0</v>
      </c>
      <c r="E63" s="30">
        <v>36</v>
      </c>
      <c r="F63" s="30">
        <f t="shared" si="3"/>
        <v>98</v>
      </c>
      <c r="G63" s="30" t="str">
        <f t="shared" si="4"/>
        <v/>
      </c>
      <c r="K63" s="3">
        <f>(Environmental!G63-MIN(Environmental!$G$2:$G$101))/(MAX(Environmental!$G$2:$G$101)-MIN(Environmental!$G$2:$G$101))*100</f>
        <v>44.086021505376344</v>
      </c>
      <c r="L63" s="3">
        <f>(Social!C63-MIN(Social!$C$2:$C$101))/(MAX(Social!$C$2:$C$101)-MIN(Social!$C$2:$C$101))*100</f>
        <v>44</v>
      </c>
      <c r="M63" s="3">
        <f t="shared" si="5"/>
        <v>1.6949152542372881</v>
      </c>
      <c r="N63" s="3">
        <f t="shared" si="6"/>
        <v>31.342883178421726</v>
      </c>
    </row>
    <row r="64" spans="1:14" x14ac:dyDescent="0.35">
      <c r="A64" s="30">
        <v>63</v>
      </c>
      <c r="B64" s="30">
        <v>79</v>
      </c>
      <c r="C64" s="30" t="s">
        <v>158</v>
      </c>
      <c r="D64" s="30">
        <v>8</v>
      </c>
      <c r="E64" s="30">
        <v>36</v>
      </c>
      <c r="F64" s="30">
        <f t="shared" si="3"/>
        <v>98</v>
      </c>
      <c r="G64" s="30" t="str">
        <f t="shared" si="4"/>
        <v/>
      </c>
      <c r="K64" s="3">
        <f>(Environmental!G64-MIN(Environmental!$G$2:$G$101))/(MAX(Environmental!$G$2:$G$101)-MIN(Environmental!$G$2:$G$101))*100</f>
        <v>75.268817204301072</v>
      </c>
      <c r="L64" s="3">
        <f>(Social!C64-MIN(Social!$C$2:$C$101))/(MAX(Social!$C$2:$C$101)-MIN(Social!$C$2:$C$101))*100</f>
        <v>30</v>
      </c>
      <c r="M64" s="3">
        <f t="shared" si="5"/>
        <v>1.6949152542372881</v>
      </c>
      <c r="N64" s="3">
        <f t="shared" si="6"/>
        <v>39.616001457991615</v>
      </c>
    </row>
    <row r="65" spans="1:14" x14ac:dyDescent="0.35">
      <c r="A65" s="30">
        <v>64</v>
      </c>
      <c r="B65" s="30">
        <v>47</v>
      </c>
      <c r="C65" s="30" t="s">
        <v>158</v>
      </c>
      <c r="D65" s="30">
        <v>8</v>
      </c>
      <c r="E65" s="30">
        <v>45</v>
      </c>
      <c r="F65" s="30">
        <f t="shared" si="3"/>
        <v>85</v>
      </c>
      <c r="G65" s="30" t="str">
        <f t="shared" si="4"/>
        <v/>
      </c>
      <c r="K65" s="3">
        <f>(Environmental!G65-MIN(Environmental!$G$2:$G$101))/(MAX(Environmental!$G$2:$G$101)-MIN(Environmental!$G$2:$G$101))*100</f>
        <v>7.5268817204301079</v>
      </c>
      <c r="L65" s="3">
        <f>(Social!C65-MIN(Social!$C$2:$C$101))/(MAX(Social!$C$2:$C$101)-MIN(Social!$C$2:$C$101))*100</f>
        <v>57.999999999999993</v>
      </c>
      <c r="M65" s="3">
        <f t="shared" si="5"/>
        <v>16.949152542372879</v>
      </c>
      <c r="N65" s="3">
        <f t="shared" si="6"/>
        <v>25.495498450883908</v>
      </c>
    </row>
    <row r="66" spans="1:14" x14ac:dyDescent="0.35">
      <c r="A66" s="30">
        <v>65</v>
      </c>
      <c r="B66" s="30">
        <v>43</v>
      </c>
      <c r="C66" s="30" t="s">
        <v>155</v>
      </c>
      <c r="D66" s="30">
        <v>1</v>
      </c>
      <c r="E66" s="30">
        <v>81</v>
      </c>
      <c r="F66" s="30">
        <f t="shared" si="3"/>
        <v>27</v>
      </c>
      <c r="G66" s="30" t="str">
        <f t="shared" ref="G66:G101" si="7">IF(E66&gt;$I$1,"Top Performer", "")</f>
        <v/>
      </c>
      <c r="K66" s="3">
        <f>(Environmental!G66-MIN(Environmental!$G$2:$G$101))/(MAX(Environmental!$G$2:$G$101)-MIN(Environmental!$G$2:$G$101))*100</f>
        <v>81.72043010752688</v>
      </c>
      <c r="L66" s="3">
        <f>(Social!C66-MIN(Social!$C$2:$C$101))/(MAX(Social!$C$2:$C$101)-MIN(Social!$C$2:$C$101))*100</f>
        <v>30</v>
      </c>
      <c r="M66" s="3">
        <f t="shared" ref="M66:M101" si="8">(E66-MIN($E$2:$E$101))/(MAX($E$2:$E$101)-MIN($E$2:$E$101))*100</f>
        <v>77.966101694915253</v>
      </c>
      <c r="N66" s="3">
        <f t="shared" ref="N66:N97" si="9">(0.4*K66)+(0.3*L66)+(0.3*M66)</f>
        <v>65.078002551485326</v>
      </c>
    </row>
    <row r="67" spans="1:14" x14ac:dyDescent="0.35">
      <c r="A67" s="30">
        <v>66</v>
      </c>
      <c r="B67" s="30">
        <v>82</v>
      </c>
      <c r="C67" s="30" t="s">
        <v>155</v>
      </c>
      <c r="D67" s="30">
        <v>2</v>
      </c>
      <c r="E67" s="30">
        <v>91</v>
      </c>
      <c r="F67" s="30">
        <f t="shared" ref="F67:F101" si="10">_xlfn.RANK.EQ(E67,$E$2:$E$101,0)</f>
        <v>7</v>
      </c>
      <c r="G67" s="30" t="str">
        <f t="shared" si="7"/>
        <v>Top Performer</v>
      </c>
      <c r="K67" s="3">
        <f>(Environmental!G67-MIN(Environmental!$G$2:$G$101))/(MAX(Environmental!$G$2:$G$101)-MIN(Environmental!$G$2:$G$101))*100</f>
        <v>79.569892473118273</v>
      </c>
      <c r="L67" s="3">
        <f>(Social!C67-MIN(Social!$C$2:$C$101))/(MAX(Social!$C$2:$C$101)-MIN(Social!$C$2:$C$101))*100</f>
        <v>26</v>
      </c>
      <c r="M67" s="3">
        <f t="shared" si="8"/>
        <v>94.915254237288138</v>
      </c>
      <c r="N67" s="3">
        <f t="shared" si="9"/>
        <v>68.102533260433745</v>
      </c>
    </row>
    <row r="68" spans="1:14" x14ac:dyDescent="0.35">
      <c r="A68" s="30">
        <v>67</v>
      </c>
      <c r="B68" s="30">
        <v>89</v>
      </c>
      <c r="C68" s="30" t="s">
        <v>155</v>
      </c>
      <c r="D68" s="30">
        <v>7</v>
      </c>
      <c r="E68" s="30">
        <v>65</v>
      </c>
      <c r="F68" s="30">
        <f t="shared" si="10"/>
        <v>46</v>
      </c>
      <c r="G68" s="30" t="str">
        <f t="shared" si="7"/>
        <v/>
      </c>
      <c r="K68" s="3">
        <f>(Environmental!G68-MIN(Environmental!$G$2:$G$101))/(MAX(Environmental!$G$2:$G$101)-MIN(Environmental!$G$2:$G$101))*100</f>
        <v>75.268817204301072</v>
      </c>
      <c r="L68" s="3">
        <f>(Social!C68-MIN(Social!$C$2:$C$101))/(MAX(Social!$C$2:$C$101)-MIN(Social!$C$2:$C$101))*100</f>
        <v>96</v>
      </c>
      <c r="M68" s="3">
        <f t="shared" si="8"/>
        <v>50.847457627118644</v>
      </c>
      <c r="N68" s="3">
        <f t="shared" si="9"/>
        <v>74.161764169856013</v>
      </c>
    </row>
    <row r="69" spans="1:14" x14ac:dyDescent="0.35">
      <c r="A69" s="30">
        <v>68</v>
      </c>
      <c r="B69" s="30">
        <v>87</v>
      </c>
      <c r="C69" s="30" t="s">
        <v>155</v>
      </c>
      <c r="D69" s="30">
        <v>9</v>
      </c>
      <c r="E69" s="30">
        <v>65</v>
      </c>
      <c r="F69" s="30">
        <f t="shared" si="10"/>
        <v>46</v>
      </c>
      <c r="G69" s="30" t="str">
        <f t="shared" si="7"/>
        <v/>
      </c>
      <c r="K69" s="3">
        <f>(Environmental!G69-MIN(Environmental!$G$2:$G$101))/(MAX(Environmental!$G$2:$G$101)-MIN(Environmental!$G$2:$G$101))*100</f>
        <v>0</v>
      </c>
      <c r="L69" s="3">
        <f>(Social!C69-MIN(Social!$C$2:$C$101))/(MAX(Social!$C$2:$C$101)-MIN(Social!$C$2:$C$101))*100</f>
        <v>82</v>
      </c>
      <c r="M69" s="3">
        <f t="shared" si="8"/>
        <v>50.847457627118644</v>
      </c>
      <c r="N69" s="3">
        <f t="shared" si="9"/>
        <v>39.854237288135593</v>
      </c>
    </row>
    <row r="70" spans="1:14" x14ac:dyDescent="0.35">
      <c r="A70" s="30">
        <v>69</v>
      </c>
      <c r="B70" s="30">
        <v>56</v>
      </c>
      <c r="C70" s="30" t="s">
        <v>158</v>
      </c>
      <c r="D70" s="30">
        <v>6</v>
      </c>
      <c r="E70" s="30">
        <v>47</v>
      </c>
      <c r="F70" s="30">
        <f t="shared" si="10"/>
        <v>82</v>
      </c>
      <c r="G70" s="30" t="str">
        <f t="shared" si="7"/>
        <v/>
      </c>
      <c r="K70" s="3">
        <f>(Environmental!G70-MIN(Environmental!$G$2:$G$101))/(MAX(Environmental!$G$2:$G$101)-MIN(Environmental!$G$2:$G$101))*100</f>
        <v>82.795698924731184</v>
      </c>
      <c r="L70" s="3">
        <f>(Social!C70-MIN(Social!$C$2:$C$101))/(MAX(Social!$C$2:$C$101)-MIN(Social!$C$2:$C$101))*100</f>
        <v>80</v>
      </c>
      <c r="M70" s="3">
        <f t="shared" si="8"/>
        <v>20.33898305084746</v>
      </c>
      <c r="N70" s="3">
        <f t="shared" si="9"/>
        <v>63.219974485146707</v>
      </c>
    </row>
    <row r="71" spans="1:14" x14ac:dyDescent="0.35">
      <c r="A71" s="30">
        <v>70</v>
      </c>
      <c r="B71" s="30">
        <v>48</v>
      </c>
      <c r="C71" s="30" t="s">
        <v>158</v>
      </c>
      <c r="D71" s="30">
        <v>7</v>
      </c>
      <c r="E71" s="30">
        <v>65</v>
      </c>
      <c r="F71" s="30">
        <f t="shared" si="10"/>
        <v>46</v>
      </c>
      <c r="G71" s="30" t="str">
        <f t="shared" si="7"/>
        <v/>
      </c>
      <c r="K71" s="3">
        <f>(Environmental!G71-MIN(Environmental!$G$2:$G$101))/(MAX(Environmental!$G$2:$G$101)-MIN(Environmental!$G$2:$G$101))*100</f>
        <v>8.6021505376344098</v>
      </c>
      <c r="L71" s="3">
        <f>(Social!C71-MIN(Social!$C$2:$C$101))/(MAX(Social!$C$2:$C$101)-MIN(Social!$C$2:$C$101))*100</f>
        <v>24</v>
      </c>
      <c r="M71" s="3">
        <f t="shared" si="8"/>
        <v>50.847457627118644</v>
      </c>
      <c r="N71" s="3">
        <f t="shared" si="9"/>
        <v>25.895097503189355</v>
      </c>
    </row>
    <row r="72" spans="1:14" x14ac:dyDescent="0.35">
      <c r="A72" s="30">
        <v>71</v>
      </c>
      <c r="B72" s="30">
        <v>100</v>
      </c>
      <c r="C72" s="30" t="s">
        <v>155</v>
      </c>
      <c r="D72" s="30">
        <v>2</v>
      </c>
      <c r="E72" s="30">
        <v>63</v>
      </c>
      <c r="F72" s="30">
        <f t="shared" si="10"/>
        <v>55</v>
      </c>
      <c r="G72" s="30" t="str">
        <f t="shared" si="7"/>
        <v/>
      </c>
      <c r="K72" s="3">
        <f>(Environmental!G72-MIN(Environmental!$G$2:$G$101))/(MAX(Environmental!$G$2:$G$101)-MIN(Environmental!$G$2:$G$101))*100</f>
        <v>53.763440860215049</v>
      </c>
      <c r="L72" s="3">
        <f>(Social!C72-MIN(Social!$C$2:$C$101))/(MAX(Social!$C$2:$C$101)-MIN(Social!$C$2:$C$101))*100</f>
        <v>60</v>
      </c>
      <c r="M72" s="3">
        <f t="shared" si="8"/>
        <v>47.457627118644069</v>
      </c>
      <c r="N72" s="3">
        <f t="shared" si="9"/>
        <v>53.742664479679235</v>
      </c>
    </row>
    <row r="73" spans="1:14" x14ac:dyDescent="0.35">
      <c r="A73" s="30">
        <v>72</v>
      </c>
      <c r="B73" s="30">
        <v>55</v>
      </c>
      <c r="C73" s="30" t="s">
        <v>155</v>
      </c>
      <c r="D73" s="30">
        <v>6</v>
      </c>
      <c r="E73" s="30">
        <v>61</v>
      </c>
      <c r="F73" s="30">
        <f t="shared" si="10"/>
        <v>59</v>
      </c>
      <c r="G73" s="30" t="str">
        <f t="shared" si="7"/>
        <v/>
      </c>
      <c r="K73" s="3">
        <f>(Environmental!G73-MIN(Environmental!$G$2:$G$101))/(MAX(Environmental!$G$2:$G$101)-MIN(Environmental!$G$2:$G$101))*100</f>
        <v>98.924731182795696</v>
      </c>
      <c r="L73" s="3">
        <f>(Social!C73-MIN(Social!$C$2:$C$101))/(MAX(Social!$C$2:$C$101)-MIN(Social!$C$2:$C$101))*100</f>
        <v>54</v>
      </c>
      <c r="M73" s="3">
        <f t="shared" si="8"/>
        <v>44.067796610169488</v>
      </c>
      <c r="N73" s="3">
        <f t="shared" si="9"/>
        <v>68.990231456169127</v>
      </c>
    </row>
    <row r="74" spans="1:14" x14ac:dyDescent="0.35">
      <c r="A74" s="30">
        <v>73</v>
      </c>
      <c r="B74" s="30">
        <v>77</v>
      </c>
      <c r="C74" s="30" t="s">
        <v>158</v>
      </c>
      <c r="D74" s="30">
        <v>9</v>
      </c>
      <c r="E74" s="30">
        <v>38</v>
      </c>
      <c r="F74" s="30">
        <f t="shared" si="10"/>
        <v>96</v>
      </c>
      <c r="G74" s="30" t="str">
        <f t="shared" si="7"/>
        <v/>
      </c>
      <c r="K74" s="3">
        <f>(Environmental!G74-MIN(Environmental!$G$2:$G$101))/(MAX(Environmental!$G$2:$G$101)-MIN(Environmental!$G$2:$G$101))*100</f>
        <v>62.365591397849464</v>
      </c>
      <c r="L74" s="3">
        <f>(Social!C74-MIN(Social!$C$2:$C$101))/(MAX(Social!$C$2:$C$101)-MIN(Social!$C$2:$C$101))*100</f>
        <v>28.000000000000004</v>
      </c>
      <c r="M74" s="3">
        <f t="shared" si="8"/>
        <v>5.0847457627118651</v>
      </c>
      <c r="N74" s="3">
        <f t="shared" si="9"/>
        <v>34.871660287953347</v>
      </c>
    </row>
    <row r="75" spans="1:14" x14ac:dyDescent="0.35">
      <c r="A75" s="30">
        <v>74</v>
      </c>
      <c r="B75" s="30">
        <v>70</v>
      </c>
      <c r="C75" s="30" t="s">
        <v>158</v>
      </c>
      <c r="D75" s="30">
        <v>5</v>
      </c>
      <c r="E75" s="30">
        <v>48</v>
      </c>
      <c r="F75" s="30">
        <f t="shared" si="10"/>
        <v>78</v>
      </c>
      <c r="G75" s="30" t="str">
        <f t="shared" si="7"/>
        <v/>
      </c>
      <c r="K75" s="3">
        <f>(Environmental!G75-MIN(Environmental!$G$2:$G$101))/(MAX(Environmental!$G$2:$G$101)-MIN(Environmental!$G$2:$G$101))*100</f>
        <v>94.623655913978496</v>
      </c>
      <c r="L75" s="3">
        <f>(Social!C75-MIN(Social!$C$2:$C$101))/(MAX(Social!$C$2:$C$101)-MIN(Social!$C$2:$C$101))*100</f>
        <v>64</v>
      </c>
      <c r="M75" s="3">
        <f t="shared" si="8"/>
        <v>22.033898305084744</v>
      </c>
      <c r="N75" s="3">
        <f t="shared" si="9"/>
        <v>63.659631857116821</v>
      </c>
    </row>
    <row r="76" spans="1:14" x14ac:dyDescent="0.35">
      <c r="A76" s="30">
        <v>75</v>
      </c>
      <c r="B76" s="30">
        <v>90</v>
      </c>
      <c r="C76" s="30" t="s">
        <v>158</v>
      </c>
      <c r="D76" s="30">
        <v>7</v>
      </c>
      <c r="E76" s="30">
        <v>85</v>
      </c>
      <c r="F76" s="30">
        <f t="shared" si="10"/>
        <v>19</v>
      </c>
      <c r="G76" s="30" t="str">
        <f t="shared" si="7"/>
        <v>Top Performer</v>
      </c>
      <c r="K76" s="3">
        <f>(Environmental!G76-MIN(Environmental!$G$2:$G$101))/(MAX(Environmental!$G$2:$G$101)-MIN(Environmental!$G$2:$G$101))*100</f>
        <v>30.107526881720432</v>
      </c>
      <c r="L76" s="3">
        <f>(Social!C76-MIN(Social!$C$2:$C$101))/(MAX(Social!$C$2:$C$101)-MIN(Social!$C$2:$C$101))*100</f>
        <v>86</v>
      </c>
      <c r="M76" s="3">
        <f t="shared" si="8"/>
        <v>84.745762711864401</v>
      </c>
      <c r="N76" s="3">
        <f t="shared" si="9"/>
        <v>63.266739566247495</v>
      </c>
    </row>
    <row r="77" spans="1:14" x14ac:dyDescent="0.35">
      <c r="A77" s="30">
        <v>76</v>
      </c>
      <c r="B77" s="30">
        <v>62</v>
      </c>
      <c r="C77" s="30" t="s">
        <v>155</v>
      </c>
      <c r="D77" s="30">
        <v>8</v>
      </c>
      <c r="E77" s="30">
        <v>83</v>
      </c>
      <c r="F77" s="30">
        <f t="shared" si="10"/>
        <v>22</v>
      </c>
      <c r="G77" s="30" t="str">
        <f t="shared" si="7"/>
        <v>Top Performer</v>
      </c>
      <c r="K77" s="3">
        <f>(Environmental!G77-MIN(Environmental!$G$2:$G$101))/(MAX(Environmental!$G$2:$G$101)-MIN(Environmental!$G$2:$G$101))*100</f>
        <v>78.494623655913969</v>
      </c>
      <c r="L77" s="3">
        <f>(Social!C77-MIN(Social!$C$2:$C$101))/(MAX(Social!$C$2:$C$101)-MIN(Social!$C$2:$C$101))*100</f>
        <v>96</v>
      </c>
      <c r="M77" s="3">
        <f t="shared" si="8"/>
        <v>81.355932203389841</v>
      </c>
      <c r="N77" s="3">
        <f t="shared" si="9"/>
        <v>84.604629123382537</v>
      </c>
    </row>
    <row r="78" spans="1:14" x14ac:dyDescent="0.35">
      <c r="A78" s="30">
        <v>77</v>
      </c>
      <c r="B78" s="30">
        <v>97</v>
      </c>
      <c r="C78" s="30" t="s">
        <v>155</v>
      </c>
      <c r="D78" s="30">
        <v>0</v>
      </c>
      <c r="E78" s="30">
        <v>78</v>
      </c>
      <c r="F78" s="30">
        <f t="shared" si="10"/>
        <v>30</v>
      </c>
      <c r="G78" s="30" t="str">
        <f t="shared" si="7"/>
        <v/>
      </c>
      <c r="K78" s="3">
        <f>(Environmental!G78-MIN(Environmental!$G$2:$G$101))/(MAX(Environmental!$G$2:$G$101)-MIN(Environmental!$G$2:$G$101))*100</f>
        <v>69.892473118279568</v>
      </c>
      <c r="L78" s="3">
        <f>(Social!C78-MIN(Social!$C$2:$C$101))/(MAX(Social!$C$2:$C$101)-MIN(Social!$C$2:$C$101))*100</f>
        <v>8</v>
      </c>
      <c r="M78" s="3">
        <f t="shared" si="8"/>
        <v>72.881355932203391</v>
      </c>
      <c r="N78" s="3">
        <f t="shared" si="9"/>
        <v>52.22139602697284</v>
      </c>
    </row>
    <row r="79" spans="1:14" x14ac:dyDescent="0.35">
      <c r="A79" s="30">
        <v>78</v>
      </c>
      <c r="B79" s="30">
        <v>52</v>
      </c>
      <c r="C79" s="30" t="s">
        <v>158</v>
      </c>
      <c r="D79" s="30">
        <v>10</v>
      </c>
      <c r="E79" s="30">
        <v>50</v>
      </c>
      <c r="F79" s="30">
        <f t="shared" si="10"/>
        <v>75</v>
      </c>
      <c r="G79" s="30" t="str">
        <f t="shared" si="7"/>
        <v/>
      </c>
      <c r="K79" s="3">
        <f>(Environmental!G79-MIN(Environmental!$G$2:$G$101))/(MAX(Environmental!$G$2:$G$101)-MIN(Environmental!$G$2:$G$101))*100</f>
        <v>26.881720430107524</v>
      </c>
      <c r="L79" s="3">
        <f>(Social!C79-MIN(Social!$C$2:$C$101))/(MAX(Social!$C$2:$C$101)-MIN(Social!$C$2:$C$101))*100</f>
        <v>72</v>
      </c>
      <c r="M79" s="3">
        <f t="shared" si="8"/>
        <v>25.423728813559322</v>
      </c>
      <c r="N79" s="3">
        <f t="shared" si="9"/>
        <v>39.979806816110809</v>
      </c>
    </row>
    <row r="80" spans="1:14" x14ac:dyDescent="0.35">
      <c r="A80" s="30">
        <v>79</v>
      </c>
      <c r="B80" s="30">
        <v>66</v>
      </c>
      <c r="C80" s="30" t="s">
        <v>155</v>
      </c>
      <c r="D80" s="30">
        <v>0</v>
      </c>
      <c r="E80" s="30">
        <v>82</v>
      </c>
      <c r="F80" s="30">
        <f t="shared" si="10"/>
        <v>24</v>
      </c>
      <c r="G80" s="30" t="str">
        <f t="shared" si="7"/>
        <v/>
      </c>
      <c r="K80" s="3">
        <f>(Environmental!G80-MIN(Environmental!$G$2:$G$101))/(MAX(Environmental!$G$2:$G$101)-MIN(Environmental!$G$2:$G$101))*100</f>
        <v>51.612903225806448</v>
      </c>
      <c r="L80" s="3">
        <f>(Social!C80-MIN(Social!$C$2:$C$101))/(MAX(Social!$C$2:$C$101)-MIN(Social!$C$2:$C$101))*100</f>
        <v>40</v>
      </c>
      <c r="M80" s="3">
        <f t="shared" si="8"/>
        <v>79.66101694915254</v>
      </c>
      <c r="N80" s="3">
        <f t="shared" si="9"/>
        <v>56.543466375068334</v>
      </c>
    </row>
    <row r="81" spans="1:14" x14ac:dyDescent="0.35">
      <c r="A81" s="30">
        <v>80</v>
      </c>
      <c r="B81" s="30">
        <v>67</v>
      </c>
      <c r="C81" s="30" t="s">
        <v>155</v>
      </c>
      <c r="D81" s="30">
        <v>8</v>
      </c>
      <c r="E81" s="30">
        <v>64</v>
      </c>
      <c r="F81" s="30">
        <f t="shared" si="10"/>
        <v>51</v>
      </c>
      <c r="G81" s="30" t="str">
        <f t="shared" si="7"/>
        <v/>
      </c>
      <c r="K81" s="3">
        <f>(Environmental!G81-MIN(Environmental!$G$2:$G$101))/(MAX(Environmental!$G$2:$G$101)-MIN(Environmental!$G$2:$G$101))*100</f>
        <v>38.70967741935484</v>
      </c>
      <c r="L81" s="3">
        <f>(Social!C81-MIN(Social!$C$2:$C$101))/(MAX(Social!$C$2:$C$101)-MIN(Social!$C$2:$C$101))*100</f>
        <v>12</v>
      </c>
      <c r="M81" s="3">
        <f t="shared" si="8"/>
        <v>49.152542372881356</v>
      </c>
      <c r="N81" s="3">
        <f t="shared" si="9"/>
        <v>33.829633679606346</v>
      </c>
    </row>
    <row r="82" spans="1:14" x14ac:dyDescent="0.35">
      <c r="A82" s="30">
        <v>81</v>
      </c>
      <c r="B82" s="30">
        <v>76</v>
      </c>
      <c r="C82" s="30" t="s">
        <v>155</v>
      </c>
      <c r="D82" s="30">
        <v>3</v>
      </c>
      <c r="E82" s="30">
        <v>58</v>
      </c>
      <c r="F82" s="30">
        <f t="shared" si="10"/>
        <v>64</v>
      </c>
      <c r="G82" s="30" t="str">
        <f t="shared" si="7"/>
        <v/>
      </c>
      <c r="K82" s="3">
        <f>(Environmental!G82-MIN(Environmental!$G$2:$G$101))/(MAX(Environmental!$G$2:$G$101)-MIN(Environmental!$G$2:$G$101))*100</f>
        <v>12.903225806451612</v>
      </c>
      <c r="L82" s="3">
        <f>(Social!C82-MIN(Social!$C$2:$C$101))/(MAX(Social!$C$2:$C$101)-MIN(Social!$C$2:$C$101))*100</f>
        <v>10</v>
      </c>
      <c r="M82" s="3">
        <f t="shared" si="8"/>
        <v>38.983050847457626</v>
      </c>
      <c r="N82" s="3">
        <f t="shared" si="9"/>
        <v>19.856205576817931</v>
      </c>
    </row>
    <row r="83" spans="1:14" x14ac:dyDescent="0.35">
      <c r="A83" s="30">
        <v>82</v>
      </c>
      <c r="B83" s="30">
        <v>75</v>
      </c>
      <c r="C83" s="30" t="s">
        <v>155</v>
      </c>
      <c r="D83" s="30">
        <v>0</v>
      </c>
      <c r="E83" s="30">
        <v>38</v>
      </c>
      <c r="F83" s="30">
        <f t="shared" si="10"/>
        <v>96</v>
      </c>
      <c r="G83" s="30" t="str">
        <f t="shared" si="7"/>
        <v/>
      </c>
      <c r="K83" s="3">
        <f>(Environmental!G83-MIN(Environmental!$G$2:$G$101))/(MAX(Environmental!$G$2:$G$101)-MIN(Environmental!$G$2:$G$101))*100</f>
        <v>100</v>
      </c>
      <c r="L83" s="3">
        <f>(Social!C83-MIN(Social!$C$2:$C$101))/(MAX(Social!$C$2:$C$101)-MIN(Social!$C$2:$C$101))*100</f>
        <v>62</v>
      </c>
      <c r="M83" s="3">
        <f t="shared" si="8"/>
        <v>5.0847457627118651</v>
      </c>
      <c r="N83" s="3">
        <f t="shared" si="9"/>
        <v>60.125423728813551</v>
      </c>
    </row>
    <row r="84" spans="1:14" x14ac:dyDescent="0.35">
      <c r="A84" s="30">
        <v>83</v>
      </c>
      <c r="B84" s="30">
        <v>74</v>
      </c>
      <c r="C84" s="30" t="s">
        <v>158</v>
      </c>
      <c r="D84" s="30">
        <v>2</v>
      </c>
      <c r="E84" s="30">
        <v>88</v>
      </c>
      <c r="F84" s="30">
        <f t="shared" si="10"/>
        <v>13</v>
      </c>
      <c r="G84" s="30" t="str">
        <f t="shared" si="7"/>
        <v>Top Performer</v>
      </c>
      <c r="K84" s="3">
        <f>(Environmental!G84-MIN(Environmental!$G$2:$G$101))/(MAX(Environmental!$G$2:$G$101)-MIN(Environmental!$G$2:$G$101))*100</f>
        <v>15.053763440860216</v>
      </c>
      <c r="L84" s="3">
        <f>(Social!C84-MIN(Social!$C$2:$C$101))/(MAX(Social!$C$2:$C$101)-MIN(Social!$C$2:$C$101))*100</f>
        <v>48</v>
      </c>
      <c r="M84" s="3">
        <f t="shared" si="8"/>
        <v>89.830508474576277</v>
      </c>
      <c r="N84" s="3">
        <f t="shared" si="9"/>
        <v>47.370657918716972</v>
      </c>
    </row>
    <row r="85" spans="1:14" x14ac:dyDescent="0.35">
      <c r="A85" s="30">
        <v>84</v>
      </c>
      <c r="B85" s="30">
        <v>62</v>
      </c>
      <c r="C85" s="30" t="s">
        <v>158</v>
      </c>
      <c r="D85" s="30">
        <v>3</v>
      </c>
      <c r="E85" s="30">
        <v>88</v>
      </c>
      <c r="F85" s="30">
        <f t="shared" si="10"/>
        <v>13</v>
      </c>
      <c r="G85" s="30" t="str">
        <f t="shared" si="7"/>
        <v>Top Performer</v>
      </c>
      <c r="K85" s="3">
        <f>(Environmental!G85-MIN(Environmental!$G$2:$G$101))/(MAX(Environmental!$G$2:$G$101)-MIN(Environmental!$G$2:$G$101))*100</f>
        <v>63.44086021505376</v>
      </c>
      <c r="L85" s="3">
        <f>(Social!C85-MIN(Social!$C$2:$C$101))/(MAX(Social!$C$2:$C$101)-MIN(Social!$C$2:$C$101))*100</f>
        <v>12</v>
      </c>
      <c r="M85" s="3">
        <f t="shared" si="8"/>
        <v>89.830508474576277</v>
      </c>
      <c r="N85" s="3">
        <f t="shared" si="9"/>
        <v>55.925496628394384</v>
      </c>
    </row>
    <row r="86" spans="1:14" x14ac:dyDescent="0.35">
      <c r="A86" s="30">
        <v>85</v>
      </c>
      <c r="B86" s="30">
        <v>74</v>
      </c>
      <c r="C86" s="30" t="s">
        <v>155</v>
      </c>
      <c r="D86" s="30">
        <v>1</v>
      </c>
      <c r="E86" s="30">
        <v>51</v>
      </c>
      <c r="F86" s="30">
        <f t="shared" si="10"/>
        <v>71</v>
      </c>
      <c r="G86" s="30" t="str">
        <f t="shared" si="7"/>
        <v/>
      </c>
      <c r="K86" s="3">
        <f>(Environmental!G86-MIN(Environmental!$G$2:$G$101))/(MAX(Environmental!$G$2:$G$101)-MIN(Environmental!$G$2:$G$101))*100</f>
        <v>82.795698924731184</v>
      </c>
      <c r="L86" s="3">
        <f>(Social!C86-MIN(Social!$C$2:$C$101))/(MAX(Social!$C$2:$C$101)-MIN(Social!$C$2:$C$101))*100</f>
        <v>26</v>
      </c>
      <c r="M86" s="3">
        <f t="shared" si="8"/>
        <v>27.118644067796609</v>
      </c>
      <c r="N86" s="3">
        <f t="shared" si="9"/>
        <v>49.053872790231452</v>
      </c>
    </row>
    <row r="87" spans="1:14" x14ac:dyDescent="0.35">
      <c r="A87" s="30">
        <v>86</v>
      </c>
      <c r="B87" s="30">
        <v>75</v>
      </c>
      <c r="C87" s="30" t="s">
        <v>158</v>
      </c>
      <c r="D87" s="30">
        <v>0</v>
      </c>
      <c r="E87" s="30">
        <v>72</v>
      </c>
      <c r="F87" s="30">
        <f t="shared" si="10"/>
        <v>37</v>
      </c>
      <c r="G87" s="30" t="str">
        <f t="shared" si="7"/>
        <v/>
      </c>
      <c r="K87" s="3">
        <f>(Environmental!G87-MIN(Environmental!$G$2:$G$101))/(MAX(Environmental!$G$2:$G$101)-MIN(Environmental!$G$2:$G$101))*100</f>
        <v>22.58064516129032</v>
      </c>
      <c r="L87" s="3">
        <f>(Social!C87-MIN(Social!$C$2:$C$101))/(MAX(Social!$C$2:$C$101)-MIN(Social!$C$2:$C$101))*100</f>
        <v>82</v>
      </c>
      <c r="M87" s="3">
        <f t="shared" si="8"/>
        <v>62.711864406779661</v>
      </c>
      <c r="N87" s="3">
        <f t="shared" si="9"/>
        <v>52.445817386550019</v>
      </c>
    </row>
    <row r="88" spans="1:14" x14ac:dyDescent="0.35">
      <c r="A88" s="30">
        <v>87</v>
      </c>
      <c r="B88" s="30">
        <v>88</v>
      </c>
      <c r="C88" s="30" t="s">
        <v>155</v>
      </c>
      <c r="D88" s="30">
        <v>1</v>
      </c>
      <c r="E88" s="30">
        <v>67</v>
      </c>
      <c r="F88" s="30">
        <f t="shared" si="10"/>
        <v>45</v>
      </c>
      <c r="G88" s="30" t="str">
        <f t="shared" si="7"/>
        <v/>
      </c>
      <c r="K88" s="3">
        <f>(Environmental!G88-MIN(Environmental!$G$2:$G$101))/(MAX(Environmental!$G$2:$G$101)-MIN(Environmental!$G$2:$G$101))*100</f>
        <v>35.483870967741936</v>
      </c>
      <c r="L88" s="3">
        <f>(Social!C88-MIN(Social!$C$2:$C$101))/(MAX(Social!$C$2:$C$101)-MIN(Social!$C$2:$C$101))*100</f>
        <v>46</v>
      </c>
      <c r="M88" s="3">
        <f t="shared" si="8"/>
        <v>54.237288135593218</v>
      </c>
      <c r="N88" s="3">
        <f t="shared" si="9"/>
        <v>44.264734827774738</v>
      </c>
    </row>
    <row r="89" spans="1:14" x14ac:dyDescent="0.35">
      <c r="A89" s="30">
        <v>88</v>
      </c>
      <c r="B89" s="30">
        <v>46</v>
      </c>
      <c r="C89" s="30" t="s">
        <v>158</v>
      </c>
      <c r="D89" s="30">
        <v>8</v>
      </c>
      <c r="E89" s="30">
        <v>85</v>
      </c>
      <c r="F89" s="30">
        <f t="shared" si="10"/>
        <v>19</v>
      </c>
      <c r="G89" s="30" t="str">
        <f t="shared" si="7"/>
        <v>Top Performer</v>
      </c>
      <c r="K89" s="3">
        <f>(Environmental!G89-MIN(Environmental!$G$2:$G$101))/(MAX(Environmental!$G$2:$G$101)-MIN(Environmental!$G$2:$G$101))*100</f>
        <v>10.75268817204301</v>
      </c>
      <c r="L89" s="3">
        <f>(Social!C89-MIN(Social!$C$2:$C$101))/(MAX(Social!$C$2:$C$101)-MIN(Social!$C$2:$C$101))*100</f>
        <v>50</v>
      </c>
      <c r="M89" s="3">
        <f t="shared" si="8"/>
        <v>84.745762711864401</v>
      </c>
      <c r="N89" s="3">
        <f t="shared" si="9"/>
        <v>44.724804082376522</v>
      </c>
    </row>
    <row r="90" spans="1:14" x14ac:dyDescent="0.35">
      <c r="A90" s="30">
        <v>89</v>
      </c>
      <c r="B90" s="30">
        <v>48</v>
      </c>
      <c r="C90" s="30" t="s">
        <v>158</v>
      </c>
      <c r="D90" s="30">
        <v>1</v>
      </c>
      <c r="E90" s="30">
        <v>46</v>
      </c>
      <c r="F90" s="30">
        <f t="shared" si="10"/>
        <v>83</v>
      </c>
      <c r="G90" s="30" t="str">
        <f t="shared" si="7"/>
        <v/>
      </c>
      <c r="K90" s="3">
        <f>(Environmental!G90-MIN(Environmental!$G$2:$G$101))/(MAX(Environmental!$G$2:$G$101)-MIN(Environmental!$G$2:$G$101))*100</f>
        <v>91.397849462365585</v>
      </c>
      <c r="L90" s="3">
        <f>(Social!C90-MIN(Social!$C$2:$C$101))/(MAX(Social!$C$2:$C$101)-MIN(Social!$C$2:$C$101))*100</f>
        <v>72</v>
      </c>
      <c r="M90" s="3">
        <f t="shared" si="8"/>
        <v>18.64406779661017</v>
      </c>
      <c r="N90" s="3">
        <f t="shared" si="9"/>
        <v>63.752360123929286</v>
      </c>
    </row>
    <row r="91" spans="1:14" x14ac:dyDescent="0.35">
      <c r="A91" s="30">
        <v>90</v>
      </c>
      <c r="B91" s="30">
        <v>72</v>
      </c>
      <c r="C91" s="30" t="s">
        <v>158</v>
      </c>
      <c r="D91" s="30">
        <v>2</v>
      </c>
      <c r="E91" s="30">
        <v>59</v>
      </c>
      <c r="F91" s="30">
        <f t="shared" si="10"/>
        <v>62</v>
      </c>
      <c r="G91" s="30" t="str">
        <f t="shared" si="7"/>
        <v/>
      </c>
      <c r="K91" s="3">
        <f>(Environmental!G91-MIN(Environmental!$G$2:$G$101))/(MAX(Environmental!$G$2:$G$101)-MIN(Environmental!$G$2:$G$101))*100</f>
        <v>61.29032258064516</v>
      </c>
      <c r="L91" s="3">
        <f>(Social!C91-MIN(Social!$C$2:$C$101))/(MAX(Social!$C$2:$C$101)-MIN(Social!$C$2:$C$101))*100</f>
        <v>88</v>
      </c>
      <c r="M91" s="3">
        <f t="shared" si="8"/>
        <v>40.677966101694921</v>
      </c>
      <c r="N91" s="3">
        <f t="shared" si="9"/>
        <v>63.11951886276654</v>
      </c>
    </row>
    <row r="92" spans="1:14" x14ac:dyDescent="0.35">
      <c r="A92" s="30">
        <v>91</v>
      </c>
      <c r="B92" s="30">
        <v>77</v>
      </c>
      <c r="C92" s="30" t="s">
        <v>155</v>
      </c>
      <c r="D92" s="30">
        <v>10</v>
      </c>
      <c r="E92" s="30">
        <v>64</v>
      </c>
      <c r="F92" s="30">
        <f t="shared" si="10"/>
        <v>51</v>
      </c>
      <c r="G92" s="30" t="str">
        <f t="shared" si="7"/>
        <v/>
      </c>
      <c r="K92" s="3">
        <f>(Environmental!G92-MIN(Environmental!$G$2:$G$101))/(MAX(Environmental!$G$2:$G$101)-MIN(Environmental!$G$2:$G$101))*100</f>
        <v>24.731182795698924</v>
      </c>
      <c r="L92" s="3">
        <f>(Social!C92-MIN(Social!$C$2:$C$101))/(MAX(Social!$C$2:$C$101)-MIN(Social!$C$2:$C$101))*100</f>
        <v>94</v>
      </c>
      <c r="M92" s="3">
        <f t="shared" si="8"/>
        <v>49.152542372881356</v>
      </c>
      <c r="N92" s="3">
        <f t="shared" si="9"/>
        <v>52.838235830143979</v>
      </c>
    </row>
    <row r="93" spans="1:14" x14ac:dyDescent="0.35">
      <c r="A93" s="30">
        <v>92</v>
      </c>
      <c r="B93" s="30">
        <v>94</v>
      </c>
      <c r="C93" s="30" t="s">
        <v>155</v>
      </c>
      <c r="D93" s="30">
        <v>7</v>
      </c>
      <c r="E93" s="30">
        <v>73</v>
      </c>
      <c r="F93" s="30">
        <f t="shared" si="10"/>
        <v>36</v>
      </c>
      <c r="G93" s="30" t="str">
        <f t="shared" si="7"/>
        <v/>
      </c>
      <c r="K93" s="3">
        <f>(Environmental!G93-MIN(Environmental!$G$2:$G$101))/(MAX(Environmental!$G$2:$G$101)-MIN(Environmental!$G$2:$G$101))*100</f>
        <v>2.1505376344086025</v>
      </c>
      <c r="L93" s="3">
        <f>(Social!C93-MIN(Social!$C$2:$C$101))/(MAX(Social!$C$2:$C$101)-MIN(Social!$C$2:$C$101))*100</f>
        <v>68</v>
      </c>
      <c r="M93" s="3">
        <f t="shared" si="8"/>
        <v>64.406779661016941</v>
      </c>
      <c r="N93" s="3">
        <f t="shared" si="9"/>
        <v>40.582248952068525</v>
      </c>
    </row>
    <row r="94" spans="1:14" x14ac:dyDescent="0.35">
      <c r="A94" s="30">
        <v>93</v>
      </c>
      <c r="B94" s="30">
        <v>41</v>
      </c>
      <c r="C94" s="30" t="s">
        <v>158</v>
      </c>
      <c r="D94" s="30">
        <v>1</v>
      </c>
      <c r="E94" s="30">
        <v>77</v>
      </c>
      <c r="F94" s="30">
        <f t="shared" si="10"/>
        <v>34</v>
      </c>
      <c r="G94" s="30" t="str">
        <f t="shared" si="7"/>
        <v/>
      </c>
      <c r="K94" s="3">
        <f>(Environmental!G94-MIN(Environmental!$G$2:$G$101))/(MAX(Environmental!$G$2:$G$101)-MIN(Environmental!$G$2:$G$101))*100</f>
        <v>49.462365591397848</v>
      </c>
      <c r="L94" s="3">
        <f>(Social!C94-MIN(Social!$C$2:$C$101))/(MAX(Social!$C$2:$C$101)-MIN(Social!$C$2:$C$101))*100</f>
        <v>46</v>
      </c>
      <c r="M94" s="3">
        <f t="shared" si="8"/>
        <v>71.186440677966104</v>
      </c>
      <c r="N94" s="3">
        <f t="shared" si="9"/>
        <v>54.940878439948975</v>
      </c>
    </row>
    <row r="95" spans="1:14" x14ac:dyDescent="0.35">
      <c r="A95" s="30">
        <v>94</v>
      </c>
      <c r="B95" s="30">
        <v>100</v>
      </c>
      <c r="C95" s="30" t="s">
        <v>158</v>
      </c>
      <c r="D95" s="30">
        <v>2</v>
      </c>
      <c r="E95" s="30">
        <v>80</v>
      </c>
      <c r="F95" s="30">
        <f t="shared" si="10"/>
        <v>29</v>
      </c>
      <c r="G95" s="30" t="str">
        <f t="shared" si="7"/>
        <v/>
      </c>
      <c r="K95" s="3">
        <f>(Environmental!G95-MIN(Environmental!$G$2:$G$101))/(MAX(Environmental!$G$2:$G$101)-MIN(Environmental!$G$2:$G$101))*100</f>
        <v>4.3010752688172049</v>
      </c>
      <c r="L95" s="3">
        <f>(Social!C95-MIN(Social!$C$2:$C$101))/(MAX(Social!$C$2:$C$101)-MIN(Social!$C$2:$C$101))*100</f>
        <v>64</v>
      </c>
      <c r="M95" s="3">
        <f t="shared" si="8"/>
        <v>76.271186440677965</v>
      </c>
      <c r="N95" s="3">
        <f t="shared" si="9"/>
        <v>43.801786039730274</v>
      </c>
    </row>
    <row r="96" spans="1:14" x14ac:dyDescent="0.35">
      <c r="A96" s="30">
        <v>95</v>
      </c>
      <c r="B96" s="30">
        <v>98</v>
      </c>
      <c r="C96" s="30" t="s">
        <v>155</v>
      </c>
      <c r="D96" s="30">
        <v>5</v>
      </c>
      <c r="E96" s="30">
        <v>70</v>
      </c>
      <c r="F96" s="30">
        <f t="shared" si="10"/>
        <v>40</v>
      </c>
      <c r="G96" s="30" t="str">
        <f t="shared" si="7"/>
        <v/>
      </c>
      <c r="K96" s="3">
        <f>(Environmental!G96-MIN(Environmental!$G$2:$G$101))/(MAX(Environmental!$G$2:$G$101)-MIN(Environmental!$G$2:$G$101))*100</f>
        <v>1.0752688172043012</v>
      </c>
      <c r="L96" s="3">
        <f>(Social!C96-MIN(Social!$C$2:$C$101))/(MAX(Social!$C$2:$C$101)-MIN(Social!$C$2:$C$101))*100</f>
        <v>100</v>
      </c>
      <c r="M96" s="3">
        <f t="shared" si="8"/>
        <v>59.322033898305079</v>
      </c>
      <c r="N96" s="3">
        <f t="shared" si="9"/>
        <v>48.226717696373242</v>
      </c>
    </row>
    <row r="97" spans="1:14" x14ac:dyDescent="0.35">
      <c r="A97" s="30">
        <v>96</v>
      </c>
      <c r="B97" s="30">
        <v>65</v>
      </c>
      <c r="C97" s="30" t="s">
        <v>155</v>
      </c>
      <c r="D97" s="30">
        <v>3</v>
      </c>
      <c r="E97" s="30">
        <v>92</v>
      </c>
      <c r="F97" s="30">
        <f t="shared" si="10"/>
        <v>5</v>
      </c>
      <c r="G97" s="30" t="str">
        <f t="shared" si="7"/>
        <v>Top Performer</v>
      </c>
      <c r="K97" s="3">
        <f>(Environmental!G97-MIN(Environmental!$G$2:$G$101))/(MAX(Environmental!$G$2:$G$101)-MIN(Environmental!$G$2:$G$101))*100</f>
        <v>91.397849462365585</v>
      </c>
      <c r="L97" s="3">
        <f>(Social!C97-MIN(Social!$C$2:$C$101))/(MAX(Social!$C$2:$C$101)-MIN(Social!$C$2:$C$101))*100</f>
        <v>86</v>
      </c>
      <c r="M97" s="3">
        <f t="shared" si="8"/>
        <v>96.610169491525426</v>
      </c>
      <c r="N97" s="3">
        <f t="shared" si="9"/>
        <v>91.342190632403856</v>
      </c>
    </row>
    <row r="98" spans="1:14" x14ac:dyDescent="0.35">
      <c r="A98" s="30">
        <v>97</v>
      </c>
      <c r="B98" s="30">
        <v>81</v>
      </c>
      <c r="C98" s="30" t="s">
        <v>155</v>
      </c>
      <c r="D98" s="30">
        <v>10</v>
      </c>
      <c r="E98" s="30">
        <v>46</v>
      </c>
      <c r="F98" s="30">
        <f t="shared" si="10"/>
        <v>83</v>
      </c>
      <c r="G98" s="30" t="str">
        <f t="shared" si="7"/>
        <v/>
      </c>
      <c r="K98" s="3">
        <f>(Environmental!G98-MIN(Environmental!$G$2:$G$101))/(MAX(Environmental!$G$2:$G$101)-MIN(Environmental!$G$2:$G$101))*100</f>
        <v>1.0752688172043012</v>
      </c>
      <c r="L98" s="3">
        <f>(Social!C98-MIN(Social!$C$2:$C$101))/(MAX(Social!$C$2:$C$101)-MIN(Social!$C$2:$C$101))*100</f>
        <v>20</v>
      </c>
      <c r="M98" s="3">
        <f t="shared" si="8"/>
        <v>18.64406779661017</v>
      </c>
      <c r="N98" s="3">
        <f t="shared" ref="N98:N101" si="11">(0.4*K98)+(0.3*L98)+(0.3*M98)</f>
        <v>12.023327865864772</v>
      </c>
    </row>
    <row r="99" spans="1:14" x14ac:dyDescent="0.35">
      <c r="A99" s="30">
        <v>98</v>
      </c>
      <c r="B99" s="30">
        <v>100</v>
      </c>
      <c r="C99" s="30" t="s">
        <v>158</v>
      </c>
      <c r="D99" s="30">
        <v>6</v>
      </c>
      <c r="E99" s="30">
        <v>65</v>
      </c>
      <c r="F99" s="30">
        <f t="shared" si="10"/>
        <v>46</v>
      </c>
      <c r="G99" s="30" t="str">
        <f t="shared" si="7"/>
        <v/>
      </c>
      <c r="K99" s="3">
        <f>(Environmental!G99-MIN(Environmental!$G$2:$G$101))/(MAX(Environmental!$G$2:$G$101)-MIN(Environmental!$G$2:$G$101))*100</f>
        <v>49.462365591397848</v>
      </c>
      <c r="L99" s="3">
        <f>(Social!C99-MIN(Social!$C$2:$C$101))/(MAX(Social!$C$2:$C$101)-MIN(Social!$C$2:$C$101))*100</f>
        <v>32</v>
      </c>
      <c r="M99" s="3">
        <f t="shared" si="8"/>
        <v>50.847457627118644</v>
      </c>
      <c r="N99" s="3">
        <f t="shared" si="11"/>
        <v>44.639183524694729</v>
      </c>
    </row>
    <row r="100" spans="1:14" x14ac:dyDescent="0.35">
      <c r="A100" s="30">
        <v>99</v>
      </c>
      <c r="B100" s="30">
        <v>83</v>
      </c>
      <c r="C100" s="30" t="s">
        <v>158</v>
      </c>
      <c r="D100" s="30">
        <v>5</v>
      </c>
      <c r="E100" s="30">
        <v>51</v>
      </c>
      <c r="F100" s="30">
        <f t="shared" si="10"/>
        <v>71</v>
      </c>
      <c r="G100" s="30" t="str">
        <f t="shared" si="7"/>
        <v/>
      </c>
      <c r="K100" s="3">
        <f>(Environmental!G100-MIN(Environmental!$G$2:$G$101))/(MAX(Environmental!$G$2:$G$101)-MIN(Environmental!$G$2:$G$101))*100</f>
        <v>72.043010752688176</v>
      </c>
      <c r="L100" s="3">
        <f>(Social!C100-MIN(Social!$C$2:$C$101))/(MAX(Social!$C$2:$C$101)-MIN(Social!$C$2:$C$101))*100</f>
        <v>26</v>
      </c>
      <c r="M100" s="3">
        <f t="shared" si="8"/>
        <v>27.118644067796609</v>
      </c>
      <c r="N100" s="3">
        <f t="shared" si="11"/>
        <v>44.752797521414251</v>
      </c>
    </row>
    <row r="101" spans="1:14" x14ac:dyDescent="0.35">
      <c r="A101" s="30">
        <v>100</v>
      </c>
      <c r="B101" s="30">
        <v>68</v>
      </c>
      <c r="C101" s="30" t="s">
        <v>155</v>
      </c>
      <c r="D101" s="30">
        <v>3</v>
      </c>
      <c r="E101" s="30">
        <v>84</v>
      </c>
      <c r="F101" s="30">
        <f t="shared" si="10"/>
        <v>21</v>
      </c>
      <c r="G101" s="30" t="str">
        <f t="shared" si="7"/>
        <v>Top Performer</v>
      </c>
      <c r="K101" s="3">
        <f>(Environmental!G101-MIN(Environmental!$G$2:$G$101))/(MAX(Environmental!$G$2:$G$101)-MIN(Environmental!$G$2:$G$101))*100</f>
        <v>39.784946236559136</v>
      </c>
      <c r="L101" s="3">
        <f>(Social!C101-MIN(Social!$C$2:$C$101))/(MAX(Social!$C$2:$C$101)-MIN(Social!$C$2:$C$101))*100</f>
        <v>4</v>
      </c>
      <c r="M101" s="3">
        <f t="shared" si="8"/>
        <v>83.050847457627114</v>
      </c>
      <c r="N101" s="3">
        <f t="shared" si="11"/>
        <v>42.02923273191179</v>
      </c>
    </row>
  </sheetData>
  <conditionalFormatting sqref="D2:D101">
    <cfRule type="cellIs" dxfId="135" priority="1" operator="greaterThan">
      <formula>5</formula>
    </cfRule>
  </conditionalFormatting>
  <conditionalFormatting sqref="E2:E101">
    <cfRule type="colorScale" priority="2">
      <colorScale>
        <cfvo type="min"/>
        <cfvo type="percentile" val="50"/>
        <cfvo type="max"/>
        <color rgb="FFF8696B"/>
        <color rgb="FFFFEB84"/>
        <color rgb="FF63BE7B"/>
      </colorScale>
    </cfRule>
  </conditionalFormatting>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J101"/>
  <sheetViews>
    <sheetView workbookViewId="0">
      <selection activeCell="O14" sqref="O14"/>
    </sheetView>
  </sheetViews>
  <sheetFormatPr defaultRowHeight="14.5" x14ac:dyDescent="0.35"/>
  <cols>
    <col min="1" max="1" width="11" bestFit="1" customWidth="1"/>
    <col min="2" max="2" width="4.81640625" bestFit="1" customWidth="1"/>
    <col min="3" max="3" width="12.453125" bestFit="1" customWidth="1"/>
    <col min="4" max="4" width="14.1796875" bestFit="1" customWidth="1"/>
    <col min="5" max="5" width="10.453125" bestFit="1" customWidth="1"/>
    <col min="6" max="6" width="6.1796875" bestFit="1" customWidth="1"/>
    <col min="7" max="7" width="8.453125" bestFit="1" customWidth="1"/>
    <col min="8" max="8" width="14.1796875" customWidth="1"/>
  </cols>
  <sheetData>
    <row r="1" spans="1:10" x14ac:dyDescent="0.35">
      <c r="A1" s="29" t="s">
        <v>0</v>
      </c>
      <c r="B1" s="29" t="s">
        <v>12</v>
      </c>
      <c r="C1" s="29" t="s">
        <v>5</v>
      </c>
      <c r="D1" s="29" t="s">
        <v>159</v>
      </c>
      <c r="E1" s="29" t="s">
        <v>160</v>
      </c>
      <c r="F1" s="29" t="s">
        <v>161</v>
      </c>
      <c r="G1" s="29" t="s">
        <v>162</v>
      </c>
      <c r="H1" s="29" t="s">
        <v>2</v>
      </c>
      <c r="I1" s="29" t="s">
        <v>3</v>
      </c>
      <c r="J1" s="29" t="s">
        <v>147</v>
      </c>
    </row>
    <row r="2" spans="1:10" x14ac:dyDescent="0.35">
      <c r="A2" s="30">
        <v>1</v>
      </c>
      <c r="B2" s="30">
        <v>2025</v>
      </c>
      <c r="C2" s="30">
        <v>24832</v>
      </c>
      <c r="D2" s="30">
        <v>4469</v>
      </c>
      <c r="E2" s="30">
        <v>3575</v>
      </c>
      <c r="F2" s="30">
        <v>62080</v>
      </c>
      <c r="G2" s="30">
        <v>27315</v>
      </c>
      <c r="H2" s="30" t="s">
        <v>14</v>
      </c>
      <c r="I2" s="30" t="s">
        <v>15</v>
      </c>
      <c r="J2" s="30">
        <v>45</v>
      </c>
    </row>
    <row r="3" spans="1:10" x14ac:dyDescent="0.35">
      <c r="A3" s="30">
        <v>2</v>
      </c>
      <c r="B3" s="30">
        <v>2025</v>
      </c>
      <c r="C3" s="30">
        <v>16478</v>
      </c>
      <c r="D3" s="30">
        <v>2966</v>
      </c>
      <c r="E3" s="30">
        <v>2372</v>
      </c>
      <c r="F3" s="30">
        <v>41195</v>
      </c>
      <c r="G3" s="30">
        <v>18125</v>
      </c>
      <c r="H3" s="30" t="s">
        <v>19</v>
      </c>
      <c r="I3" s="30" t="s">
        <v>20</v>
      </c>
      <c r="J3" s="30">
        <v>82</v>
      </c>
    </row>
    <row r="4" spans="1:10" x14ac:dyDescent="0.35">
      <c r="A4" s="30">
        <v>3</v>
      </c>
      <c r="B4" s="30">
        <v>2025</v>
      </c>
      <c r="C4" s="30">
        <v>18712</v>
      </c>
      <c r="D4" s="30">
        <v>3368</v>
      </c>
      <c r="E4" s="30">
        <v>2694</v>
      </c>
      <c r="F4" s="30">
        <v>46780</v>
      </c>
      <c r="G4" s="30">
        <v>20583</v>
      </c>
      <c r="H4" s="30" t="s">
        <v>22</v>
      </c>
      <c r="I4" s="30" t="s">
        <v>20</v>
      </c>
      <c r="J4" s="30">
        <v>78</v>
      </c>
    </row>
    <row r="5" spans="1:10" x14ac:dyDescent="0.35">
      <c r="A5" s="30">
        <v>4</v>
      </c>
      <c r="B5" s="30">
        <v>2025</v>
      </c>
      <c r="C5" s="30">
        <v>15018</v>
      </c>
      <c r="D5" s="30">
        <v>2703</v>
      </c>
      <c r="E5" s="30">
        <v>2162</v>
      </c>
      <c r="F5" s="30">
        <v>37545</v>
      </c>
      <c r="G5" s="30">
        <v>16519</v>
      </c>
      <c r="H5" s="30" t="s">
        <v>14</v>
      </c>
      <c r="I5" s="30" t="s">
        <v>25</v>
      </c>
      <c r="J5" s="30">
        <v>54</v>
      </c>
    </row>
    <row r="6" spans="1:10" x14ac:dyDescent="0.35">
      <c r="A6" s="30">
        <v>5</v>
      </c>
      <c r="B6" s="30">
        <v>2025</v>
      </c>
      <c r="C6" s="30">
        <v>12746</v>
      </c>
      <c r="D6" s="30">
        <v>2294</v>
      </c>
      <c r="E6" s="30">
        <v>1835</v>
      </c>
      <c r="F6" s="30">
        <v>31865</v>
      </c>
      <c r="G6" s="30">
        <v>14020</v>
      </c>
      <c r="H6" s="30" t="s">
        <v>16</v>
      </c>
      <c r="I6" s="30" t="s">
        <v>28</v>
      </c>
      <c r="J6" s="30">
        <v>62</v>
      </c>
    </row>
    <row r="7" spans="1:10" x14ac:dyDescent="0.35">
      <c r="A7" s="30">
        <v>6</v>
      </c>
      <c r="B7" s="30">
        <v>2025</v>
      </c>
      <c r="C7" s="30">
        <v>8462</v>
      </c>
      <c r="D7" s="30">
        <v>1523</v>
      </c>
      <c r="E7" s="30">
        <v>1218</v>
      </c>
      <c r="F7" s="30">
        <v>21155</v>
      </c>
      <c r="G7" s="30">
        <v>9308</v>
      </c>
      <c r="H7" s="30" t="s">
        <v>22</v>
      </c>
      <c r="I7" s="30" t="s">
        <v>30</v>
      </c>
      <c r="J7" s="30">
        <v>94</v>
      </c>
    </row>
    <row r="8" spans="1:10" x14ac:dyDescent="0.35">
      <c r="A8" s="30">
        <v>7</v>
      </c>
      <c r="B8" s="30">
        <v>2025</v>
      </c>
      <c r="C8" s="30">
        <v>12407</v>
      </c>
      <c r="D8" s="30">
        <v>2233</v>
      </c>
      <c r="E8" s="30">
        <v>1786</v>
      </c>
      <c r="F8" s="30">
        <v>31017</v>
      </c>
      <c r="G8" s="30">
        <v>13647</v>
      </c>
      <c r="H8" s="30" t="s">
        <v>22</v>
      </c>
      <c r="I8" s="30" t="s">
        <v>30</v>
      </c>
      <c r="J8" s="30">
        <v>41</v>
      </c>
    </row>
    <row r="9" spans="1:10" x14ac:dyDescent="0.35">
      <c r="A9" s="30">
        <v>8</v>
      </c>
      <c r="B9" s="30">
        <v>2025</v>
      </c>
      <c r="C9" s="30">
        <v>21531</v>
      </c>
      <c r="D9" s="30">
        <v>3875</v>
      </c>
      <c r="E9" s="30">
        <v>3100</v>
      </c>
      <c r="F9" s="30">
        <v>53827</v>
      </c>
      <c r="G9" s="30">
        <v>23684</v>
      </c>
      <c r="H9" s="30" t="s">
        <v>19</v>
      </c>
      <c r="I9" s="30" t="s">
        <v>30</v>
      </c>
      <c r="J9" s="30">
        <v>35</v>
      </c>
    </row>
    <row r="10" spans="1:10" x14ac:dyDescent="0.35">
      <c r="A10" s="30">
        <v>9</v>
      </c>
      <c r="B10" s="30">
        <v>2025</v>
      </c>
      <c r="C10" s="30">
        <v>1525</v>
      </c>
      <c r="D10" s="30">
        <v>274</v>
      </c>
      <c r="E10" s="30">
        <v>219</v>
      </c>
      <c r="F10" s="30">
        <v>3812</v>
      </c>
      <c r="G10" s="30">
        <v>1677</v>
      </c>
      <c r="H10" s="30" t="s">
        <v>35</v>
      </c>
      <c r="I10" s="30" t="s">
        <v>28</v>
      </c>
      <c r="J10" s="30">
        <v>83</v>
      </c>
    </row>
    <row r="11" spans="1:10" x14ac:dyDescent="0.35">
      <c r="A11" s="30">
        <v>10</v>
      </c>
      <c r="B11" s="30">
        <v>2025</v>
      </c>
      <c r="C11" s="30">
        <v>24285</v>
      </c>
      <c r="D11" s="30">
        <v>4371</v>
      </c>
      <c r="E11" s="30">
        <v>3496</v>
      </c>
      <c r="F11" s="30">
        <v>60712</v>
      </c>
      <c r="G11" s="30">
        <v>26713</v>
      </c>
      <c r="H11" s="30" t="s">
        <v>38</v>
      </c>
      <c r="I11" s="30" t="s">
        <v>28</v>
      </c>
      <c r="J11" s="30">
        <v>78</v>
      </c>
    </row>
    <row r="12" spans="1:10" x14ac:dyDescent="0.35">
      <c r="A12" s="30">
        <v>11</v>
      </c>
      <c r="B12" s="30">
        <v>2025</v>
      </c>
      <c r="C12" s="30">
        <v>16155</v>
      </c>
      <c r="D12" s="30">
        <v>2907</v>
      </c>
      <c r="E12" s="30">
        <v>2325</v>
      </c>
      <c r="F12" s="30">
        <v>40387</v>
      </c>
      <c r="G12" s="30">
        <v>17770</v>
      </c>
      <c r="H12" s="30" t="s">
        <v>180</v>
      </c>
      <c r="I12" s="30" t="s">
        <v>20</v>
      </c>
      <c r="J12" s="30">
        <v>62</v>
      </c>
    </row>
    <row r="13" spans="1:10" x14ac:dyDescent="0.35">
      <c r="A13" s="30">
        <v>12</v>
      </c>
      <c r="B13" s="30">
        <v>2025</v>
      </c>
      <c r="C13" s="30">
        <v>28460</v>
      </c>
      <c r="D13" s="30">
        <v>5122</v>
      </c>
      <c r="E13" s="30">
        <v>4097</v>
      </c>
      <c r="F13" s="30">
        <v>71150</v>
      </c>
      <c r="G13" s="30">
        <v>31306</v>
      </c>
      <c r="H13" s="30" t="s">
        <v>38</v>
      </c>
      <c r="I13" s="30" t="s">
        <v>42</v>
      </c>
      <c r="J13" s="30">
        <v>71</v>
      </c>
    </row>
    <row r="14" spans="1:10" x14ac:dyDescent="0.35">
      <c r="A14" s="30">
        <v>13</v>
      </c>
      <c r="B14" s="30">
        <v>2025</v>
      </c>
      <c r="C14" s="30">
        <v>7010</v>
      </c>
      <c r="D14" s="30">
        <v>1261</v>
      </c>
      <c r="E14" s="30">
        <v>1008</v>
      </c>
      <c r="F14" s="30">
        <v>17525</v>
      </c>
      <c r="G14" s="30">
        <v>7711</v>
      </c>
      <c r="H14" s="30" t="s">
        <v>14</v>
      </c>
      <c r="I14" s="30" t="s">
        <v>15</v>
      </c>
      <c r="J14" s="30">
        <v>68</v>
      </c>
    </row>
    <row r="15" spans="1:10" x14ac:dyDescent="0.35">
      <c r="A15" s="30">
        <v>14</v>
      </c>
      <c r="B15" s="30">
        <v>2025</v>
      </c>
      <c r="C15" s="30">
        <v>22047</v>
      </c>
      <c r="D15" s="30">
        <v>3968</v>
      </c>
      <c r="E15" s="30">
        <v>3174</v>
      </c>
      <c r="F15" s="30">
        <v>55117</v>
      </c>
      <c r="G15" s="30">
        <v>24251</v>
      </c>
      <c r="H15" s="30" t="s">
        <v>16</v>
      </c>
      <c r="I15" s="30" t="s">
        <v>25</v>
      </c>
      <c r="J15" s="30">
        <v>52</v>
      </c>
    </row>
    <row r="16" spans="1:10" x14ac:dyDescent="0.35">
      <c r="A16" s="30">
        <v>15</v>
      </c>
      <c r="B16" s="30">
        <v>2025</v>
      </c>
      <c r="C16" s="30">
        <v>26949</v>
      </c>
      <c r="D16" s="30">
        <v>4850</v>
      </c>
      <c r="E16" s="30">
        <v>3880</v>
      </c>
      <c r="F16" s="30">
        <v>67372</v>
      </c>
      <c r="G16" s="30">
        <v>29643</v>
      </c>
      <c r="H16" s="30" t="s">
        <v>19</v>
      </c>
      <c r="I16" s="30" t="s">
        <v>42</v>
      </c>
      <c r="J16" s="30">
        <v>64</v>
      </c>
    </row>
    <row r="17" spans="1:10" x14ac:dyDescent="0.35">
      <c r="A17" s="30">
        <v>16</v>
      </c>
      <c r="B17" s="30">
        <v>2025</v>
      </c>
      <c r="C17" s="30">
        <v>5000</v>
      </c>
      <c r="D17" s="30">
        <v>900</v>
      </c>
      <c r="E17" s="30">
        <v>720</v>
      </c>
      <c r="F17" s="30">
        <v>12500</v>
      </c>
      <c r="G17" s="30">
        <v>5500</v>
      </c>
      <c r="H17" s="30" t="s">
        <v>35</v>
      </c>
      <c r="I17" s="30" t="s">
        <v>28</v>
      </c>
      <c r="J17" s="30">
        <v>89</v>
      </c>
    </row>
    <row r="18" spans="1:10" x14ac:dyDescent="0.35">
      <c r="A18" s="30">
        <v>17</v>
      </c>
      <c r="B18" s="30">
        <v>2025</v>
      </c>
      <c r="C18" s="30">
        <v>652</v>
      </c>
      <c r="D18" s="30">
        <v>117</v>
      </c>
      <c r="E18" s="30">
        <v>93</v>
      </c>
      <c r="F18" s="30">
        <v>1630</v>
      </c>
      <c r="G18" s="30">
        <v>717</v>
      </c>
      <c r="H18" s="30" t="s">
        <v>19</v>
      </c>
      <c r="I18" s="30" t="s">
        <v>42</v>
      </c>
      <c r="J18" s="30">
        <v>52</v>
      </c>
    </row>
    <row r="19" spans="1:10" x14ac:dyDescent="0.35">
      <c r="A19" s="30">
        <v>18</v>
      </c>
      <c r="B19" s="30">
        <v>2025</v>
      </c>
      <c r="C19" s="30">
        <v>17117</v>
      </c>
      <c r="D19" s="30">
        <v>3081</v>
      </c>
      <c r="E19" s="30">
        <v>2464</v>
      </c>
      <c r="F19" s="30">
        <v>42792</v>
      </c>
      <c r="G19" s="30">
        <v>18828</v>
      </c>
      <c r="H19" s="30" t="s">
        <v>35</v>
      </c>
      <c r="I19" s="30" t="s">
        <v>42</v>
      </c>
      <c r="J19" s="30">
        <v>51</v>
      </c>
    </row>
    <row r="20" spans="1:10" x14ac:dyDescent="0.35">
      <c r="A20" s="30">
        <v>19</v>
      </c>
      <c r="B20" s="30">
        <v>2025</v>
      </c>
      <c r="C20" s="30">
        <v>10119</v>
      </c>
      <c r="D20" s="30">
        <v>1821</v>
      </c>
      <c r="E20" s="30">
        <v>1456</v>
      </c>
      <c r="F20" s="30">
        <v>25297</v>
      </c>
      <c r="G20" s="30">
        <v>11130</v>
      </c>
      <c r="H20" s="30" t="s">
        <v>19</v>
      </c>
      <c r="I20" s="30" t="s">
        <v>25</v>
      </c>
      <c r="J20" s="30">
        <v>88</v>
      </c>
    </row>
    <row r="21" spans="1:10" x14ac:dyDescent="0.35">
      <c r="A21" s="30">
        <v>20</v>
      </c>
      <c r="B21" s="30">
        <v>2025</v>
      </c>
      <c r="C21" s="30">
        <v>22409</v>
      </c>
      <c r="D21" s="30">
        <v>4033</v>
      </c>
      <c r="E21" s="30">
        <v>3226</v>
      </c>
      <c r="F21" s="30">
        <v>56022</v>
      </c>
      <c r="G21" s="30">
        <v>24649</v>
      </c>
      <c r="H21" s="30" t="s">
        <v>16</v>
      </c>
      <c r="I21" s="30" t="s">
        <v>15</v>
      </c>
      <c r="J21" s="30">
        <v>65</v>
      </c>
    </row>
    <row r="22" spans="1:10" x14ac:dyDescent="0.35">
      <c r="A22" s="30">
        <v>21</v>
      </c>
      <c r="B22" s="30">
        <v>2025</v>
      </c>
      <c r="C22" s="30">
        <v>1992</v>
      </c>
      <c r="D22" s="30">
        <v>358</v>
      </c>
      <c r="E22" s="30">
        <v>286</v>
      </c>
      <c r="F22" s="30">
        <v>4980</v>
      </c>
      <c r="G22" s="30">
        <v>2191</v>
      </c>
      <c r="H22" s="30" t="s">
        <v>16</v>
      </c>
      <c r="I22" s="30" t="s">
        <v>20</v>
      </c>
      <c r="J22" s="30">
        <v>61</v>
      </c>
    </row>
    <row r="23" spans="1:10" x14ac:dyDescent="0.35">
      <c r="A23" s="30">
        <v>22</v>
      </c>
      <c r="B23" s="30">
        <v>2025</v>
      </c>
      <c r="C23" s="30">
        <v>12177</v>
      </c>
      <c r="D23" s="30">
        <v>2191</v>
      </c>
      <c r="E23" s="30">
        <v>1752</v>
      </c>
      <c r="F23" s="30">
        <v>30442</v>
      </c>
      <c r="G23" s="30">
        <v>13394</v>
      </c>
      <c r="H23" s="30" t="s">
        <v>14</v>
      </c>
      <c r="I23" s="30" t="s">
        <v>25</v>
      </c>
      <c r="J23" s="30">
        <v>50</v>
      </c>
    </row>
    <row r="24" spans="1:10" x14ac:dyDescent="0.35">
      <c r="A24" s="30">
        <v>23</v>
      </c>
      <c r="B24" s="30">
        <v>2025</v>
      </c>
      <c r="C24" s="30">
        <v>20626</v>
      </c>
      <c r="D24" s="30">
        <v>3712</v>
      </c>
      <c r="E24" s="30">
        <v>2969</v>
      </c>
      <c r="F24" s="30">
        <v>51565</v>
      </c>
      <c r="G24" s="30">
        <v>22688</v>
      </c>
      <c r="H24" s="30" t="s">
        <v>19</v>
      </c>
      <c r="I24" s="30" t="s">
        <v>42</v>
      </c>
      <c r="J24" s="30">
        <v>39</v>
      </c>
    </row>
    <row r="25" spans="1:10" x14ac:dyDescent="0.35">
      <c r="A25" s="30">
        <v>24</v>
      </c>
      <c r="B25" s="30">
        <v>2025</v>
      </c>
      <c r="C25" s="30">
        <v>6595</v>
      </c>
      <c r="D25" s="30">
        <v>1187</v>
      </c>
      <c r="E25" s="30">
        <v>949</v>
      </c>
      <c r="F25" s="30">
        <v>16487</v>
      </c>
      <c r="G25" s="30">
        <v>7254</v>
      </c>
      <c r="H25" s="30" t="s">
        <v>35</v>
      </c>
      <c r="I25" s="30" t="s">
        <v>25</v>
      </c>
      <c r="J25" s="30">
        <v>41</v>
      </c>
    </row>
    <row r="26" spans="1:10" x14ac:dyDescent="0.35">
      <c r="A26" s="30">
        <v>25</v>
      </c>
      <c r="B26" s="30">
        <v>2025</v>
      </c>
      <c r="C26" s="30">
        <v>6453</v>
      </c>
      <c r="D26" s="30">
        <v>1161</v>
      </c>
      <c r="E26" s="30">
        <v>928</v>
      </c>
      <c r="F26" s="30">
        <v>16132</v>
      </c>
      <c r="G26" s="30">
        <v>7098</v>
      </c>
      <c r="H26" s="30" t="s">
        <v>16</v>
      </c>
      <c r="I26" s="30" t="s">
        <v>28</v>
      </c>
      <c r="J26" s="30">
        <v>74</v>
      </c>
    </row>
    <row r="27" spans="1:10" x14ac:dyDescent="0.35">
      <c r="A27" s="30">
        <v>26</v>
      </c>
      <c r="B27" s="30">
        <v>2025</v>
      </c>
      <c r="C27" s="30">
        <v>17384</v>
      </c>
      <c r="D27" s="30">
        <v>3129</v>
      </c>
      <c r="E27" s="30">
        <v>2503</v>
      </c>
      <c r="F27" s="30">
        <v>43460</v>
      </c>
      <c r="G27" s="30">
        <v>19122</v>
      </c>
      <c r="H27" s="30" t="s">
        <v>35</v>
      </c>
      <c r="I27" s="30" t="s">
        <v>30</v>
      </c>
      <c r="J27" s="30">
        <v>44</v>
      </c>
    </row>
    <row r="28" spans="1:10" x14ac:dyDescent="0.35">
      <c r="A28" s="30">
        <v>27</v>
      </c>
      <c r="B28" s="30">
        <v>2025</v>
      </c>
      <c r="C28" s="30">
        <v>4691</v>
      </c>
      <c r="D28" s="30">
        <v>844</v>
      </c>
      <c r="E28" s="30">
        <v>675</v>
      </c>
      <c r="F28" s="30">
        <v>11727</v>
      </c>
      <c r="G28" s="30">
        <v>5160</v>
      </c>
      <c r="H28" s="30" t="s">
        <v>19</v>
      </c>
      <c r="I28" s="30" t="s">
        <v>30</v>
      </c>
      <c r="J28" s="30">
        <v>93</v>
      </c>
    </row>
    <row r="29" spans="1:10" x14ac:dyDescent="0.35">
      <c r="A29" s="30">
        <v>28</v>
      </c>
      <c r="B29" s="30">
        <v>2025</v>
      </c>
      <c r="C29" s="30">
        <v>29117</v>
      </c>
      <c r="D29" s="30">
        <v>5241</v>
      </c>
      <c r="E29" s="30">
        <v>4192</v>
      </c>
      <c r="F29" s="30">
        <v>72792</v>
      </c>
      <c r="G29" s="30">
        <v>32028</v>
      </c>
      <c r="H29" s="30" t="s">
        <v>38</v>
      </c>
      <c r="I29" s="30" t="s">
        <v>30</v>
      </c>
      <c r="J29" s="30">
        <v>64</v>
      </c>
    </row>
    <row r="30" spans="1:10" x14ac:dyDescent="0.35">
      <c r="A30" s="30">
        <v>29</v>
      </c>
      <c r="B30" s="30">
        <v>2025</v>
      </c>
      <c r="C30" s="30">
        <v>9156</v>
      </c>
      <c r="D30" s="30">
        <v>1648</v>
      </c>
      <c r="E30" s="30">
        <v>1318</v>
      </c>
      <c r="F30" s="30">
        <v>22890</v>
      </c>
      <c r="G30" s="30">
        <v>10071</v>
      </c>
      <c r="H30" s="30" t="s">
        <v>19</v>
      </c>
      <c r="I30" s="30" t="s">
        <v>42</v>
      </c>
      <c r="J30" s="30">
        <v>82</v>
      </c>
    </row>
    <row r="31" spans="1:10" x14ac:dyDescent="0.35">
      <c r="A31" s="30">
        <v>30</v>
      </c>
      <c r="B31" s="30">
        <v>2025</v>
      </c>
      <c r="C31" s="30">
        <v>2731</v>
      </c>
      <c r="D31" s="30">
        <v>491</v>
      </c>
      <c r="E31" s="30">
        <v>392</v>
      </c>
      <c r="F31" s="30">
        <v>6827</v>
      </c>
      <c r="G31" s="30">
        <v>3004</v>
      </c>
      <c r="H31" s="30" t="s">
        <v>22</v>
      </c>
      <c r="I31" s="30" t="s">
        <v>42</v>
      </c>
      <c r="J31" s="30">
        <v>42</v>
      </c>
    </row>
    <row r="32" spans="1:10" x14ac:dyDescent="0.35">
      <c r="A32" s="30">
        <v>31</v>
      </c>
      <c r="B32" s="30">
        <v>2025</v>
      </c>
      <c r="C32" s="30">
        <v>23649</v>
      </c>
      <c r="D32" s="30">
        <v>4256</v>
      </c>
      <c r="E32" s="30">
        <v>3404</v>
      </c>
      <c r="F32" s="30">
        <v>59122</v>
      </c>
      <c r="G32" s="30">
        <v>26013</v>
      </c>
      <c r="H32" s="30" t="s">
        <v>35</v>
      </c>
      <c r="I32" s="30" t="s">
        <v>15</v>
      </c>
      <c r="J32" s="30">
        <v>62</v>
      </c>
    </row>
    <row r="33" spans="1:10" x14ac:dyDescent="0.35">
      <c r="A33" s="30">
        <v>32</v>
      </c>
      <c r="B33" s="30">
        <v>2025</v>
      </c>
      <c r="C33" s="30">
        <v>1092</v>
      </c>
      <c r="D33" s="30">
        <v>196</v>
      </c>
      <c r="E33" s="30">
        <v>156</v>
      </c>
      <c r="F33" s="30">
        <v>2730</v>
      </c>
      <c r="G33" s="30">
        <v>1201</v>
      </c>
      <c r="H33" s="30" t="s">
        <v>16</v>
      </c>
      <c r="I33" s="30" t="s">
        <v>42</v>
      </c>
      <c r="J33" s="30">
        <v>40</v>
      </c>
    </row>
    <row r="34" spans="1:10" x14ac:dyDescent="0.35">
      <c r="A34" s="30">
        <v>33</v>
      </c>
      <c r="B34" s="30">
        <v>2025</v>
      </c>
      <c r="C34" s="30">
        <v>6246</v>
      </c>
      <c r="D34" s="30">
        <v>1124</v>
      </c>
      <c r="E34" s="30">
        <v>899</v>
      </c>
      <c r="F34" s="30">
        <v>15615</v>
      </c>
      <c r="G34" s="30">
        <v>6870</v>
      </c>
      <c r="H34" s="30" t="s">
        <v>16</v>
      </c>
      <c r="I34" s="30" t="s">
        <v>28</v>
      </c>
      <c r="J34" s="30">
        <v>93</v>
      </c>
    </row>
    <row r="35" spans="1:10" x14ac:dyDescent="0.35">
      <c r="A35" s="30">
        <v>34</v>
      </c>
      <c r="B35" s="30">
        <v>2025</v>
      </c>
      <c r="C35" s="30">
        <v>27482</v>
      </c>
      <c r="D35" s="30">
        <v>4946</v>
      </c>
      <c r="E35" s="30">
        <v>3956</v>
      </c>
      <c r="F35" s="30">
        <v>68705</v>
      </c>
      <c r="G35" s="30">
        <v>30230</v>
      </c>
      <c r="H35" s="30" t="s">
        <v>35</v>
      </c>
      <c r="I35" s="30" t="s">
        <v>20</v>
      </c>
      <c r="J35" s="30">
        <v>55</v>
      </c>
    </row>
    <row r="36" spans="1:10" x14ac:dyDescent="0.35">
      <c r="A36" s="30">
        <v>35</v>
      </c>
      <c r="B36" s="30">
        <v>2025</v>
      </c>
      <c r="C36" s="30">
        <v>9011</v>
      </c>
      <c r="D36" s="30">
        <v>1621</v>
      </c>
      <c r="E36" s="30">
        <v>1296</v>
      </c>
      <c r="F36" s="30">
        <v>22527</v>
      </c>
      <c r="G36" s="30">
        <v>9912</v>
      </c>
      <c r="H36" s="30" t="s">
        <v>16</v>
      </c>
      <c r="I36" s="30" t="s">
        <v>15</v>
      </c>
      <c r="J36" s="30">
        <v>89</v>
      </c>
    </row>
    <row r="37" spans="1:10" x14ac:dyDescent="0.35">
      <c r="A37" s="30">
        <v>36</v>
      </c>
      <c r="B37" s="30">
        <v>2025</v>
      </c>
      <c r="C37" s="30">
        <v>27128</v>
      </c>
      <c r="D37" s="30">
        <v>4883</v>
      </c>
      <c r="E37" s="30">
        <v>3906</v>
      </c>
      <c r="F37" s="30">
        <v>67820</v>
      </c>
      <c r="G37" s="30">
        <v>29840</v>
      </c>
      <c r="H37" s="30" t="s">
        <v>14</v>
      </c>
      <c r="I37" s="30" t="s">
        <v>20</v>
      </c>
      <c r="J37" s="30">
        <v>89</v>
      </c>
    </row>
    <row r="38" spans="1:10" x14ac:dyDescent="0.35">
      <c r="A38" s="30">
        <v>37</v>
      </c>
      <c r="B38" s="30">
        <v>2025</v>
      </c>
      <c r="C38" s="30">
        <v>7799</v>
      </c>
      <c r="D38" s="30">
        <v>1403</v>
      </c>
      <c r="E38" s="30">
        <v>1122</v>
      </c>
      <c r="F38" s="30">
        <v>19497</v>
      </c>
      <c r="G38" s="30">
        <v>8578</v>
      </c>
      <c r="H38" s="30" t="s">
        <v>14</v>
      </c>
      <c r="I38" s="30" t="s">
        <v>30</v>
      </c>
      <c r="J38" s="30">
        <v>89</v>
      </c>
    </row>
    <row r="39" spans="1:10" x14ac:dyDescent="0.35">
      <c r="A39" s="30">
        <v>38</v>
      </c>
      <c r="B39" s="30">
        <v>2025</v>
      </c>
      <c r="C39" s="30">
        <v>9778</v>
      </c>
      <c r="D39" s="30">
        <v>1760</v>
      </c>
      <c r="E39" s="30">
        <v>1408</v>
      </c>
      <c r="F39" s="30">
        <v>24445</v>
      </c>
      <c r="G39" s="30">
        <v>10755</v>
      </c>
      <c r="H39" s="30" t="s">
        <v>22</v>
      </c>
      <c r="I39" s="30" t="s">
        <v>20</v>
      </c>
      <c r="J39" s="30">
        <v>51</v>
      </c>
    </row>
    <row r="40" spans="1:10" x14ac:dyDescent="0.35">
      <c r="A40" s="30">
        <v>39</v>
      </c>
      <c r="B40" s="30">
        <v>2025</v>
      </c>
      <c r="C40" s="30">
        <v>17778</v>
      </c>
      <c r="D40" s="30">
        <v>3200</v>
      </c>
      <c r="E40" s="30">
        <v>2560</v>
      </c>
      <c r="F40" s="30">
        <v>44445</v>
      </c>
      <c r="G40" s="30">
        <v>19555</v>
      </c>
      <c r="H40" s="30" t="s">
        <v>14</v>
      </c>
      <c r="I40" s="30" t="s">
        <v>15</v>
      </c>
      <c r="J40" s="30">
        <v>49</v>
      </c>
    </row>
    <row r="41" spans="1:10" x14ac:dyDescent="0.35">
      <c r="A41" s="30">
        <v>40</v>
      </c>
      <c r="B41" s="30">
        <v>2025</v>
      </c>
      <c r="C41" s="30">
        <v>26515</v>
      </c>
      <c r="D41" s="30">
        <v>4772</v>
      </c>
      <c r="E41" s="30">
        <v>3817</v>
      </c>
      <c r="F41" s="30">
        <v>66287</v>
      </c>
      <c r="G41" s="30">
        <v>29166</v>
      </c>
      <c r="H41" s="30" t="s">
        <v>16</v>
      </c>
      <c r="I41" s="30" t="s">
        <v>15</v>
      </c>
      <c r="J41" s="30">
        <v>41</v>
      </c>
    </row>
    <row r="42" spans="1:10" x14ac:dyDescent="0.35">
      <c r="A42" s="30">
        <v>41</v>
      </c>
      <c r="B42" s="30">
        <v>2025</v>
      </c>
      <c r="C42" s="30">
        <v>431</v>
      </c>
      <c r="D42" s="30">
        <v>77</v>
      </c>
      <c r="E42" s="30">
        <v>61</v>
      </c>
      <c r="F42" s="30">
        <v>1077</v>
      </c>
      <c r="G42" s="30">
        <v>474</v>
      </c>
      <c r="H42" s="30" t="s">
        <v>22</v>
      </c>
      <c r="I42" s="30" t="s">
        <v>20</v>
      </c>
      <c r="J42" s="30">
        <v>48</v>
      </c>
    </row>
    <row r="43" spans="1:10" x14ac:dyDescent="0.35">
      <c r="A43" s="30">
        <v>42</v>
      </c>
      <c r="B43" s="30">
        <v>2025</v>
      </c>
      <c r="C43" s="30">
        <v>2650</v>
      </c>
      <c r="D43" s="30">
        <v>477</v>
      </c>
      <c r="E43" s="30">
        <v>381</v>
      </c>
      <c r="F43" s="30">
        <v>6625</v>
      </c>
      <c r="G43" s="30">
        <v>2915</v>
      </c>
      <c r="H43" s="30" t="s">
        <v>22</v>
      </c>
      <c r="I43" s="30" t="s">
        <v>20</v>
      </c>
      <c r="J43" s="30">
        <v>70</v>
      </c>
    </row>
    <row r="44" spans="1:10" x14ac:dyDescent="0.35">
      <c r="A44" s="30">
        <v>43</v>
      </c>
      <c r="B44" s="30">
        <v>2025</v>
      </c>
      <c r="C44" s="30">
        <v>3460</v>
      </c>
      <c r="D44" s="30">
        <v>622</v>
      </c>
      <c r="E44" s="30">
        <v>497</v>
      </c>
      <c r="F44" s="30">
        <v>8650</v>
      </c>
      <c r="G44" s="30">
        <v>3806</v>
      </c>
      <c r="H44" s="30" t="s">
        <v>19</v>
      </c>
      <c r="I44" s="30" t="s">
        <v>30</v>
      </c>
      <c r="J44" s="30">
        <v>81</v>
      </c>
    </row>
    <row r="45" spans="1:10" x14ac:dyDescent="0.35">
      <c r="A45" s="30">
        <v>44</v>
      </c>
      <c r="B45" s="30">
        <v>2025</v>
      </c>
      <c r="C45" s="30">
        <v>7960</v>
      </c>
      <c r="D45" s="30">
        <v>1432</v>
      </c>
      <c r="E45" s="30">
        <v>1145</v>
      </c>
      <c r="F45" s="30">
        <v>19900</v>
      </c>
      <c r="G45" s="30">
        <v>8756</v>
      </c>
      <c r="H45" s="30" t="s">
        <v>16</v>
      </c>
      <c r="I45" s="30" t="s">
        <v>25</v>
      </c>
      <c r="J45" s="30">
        <v>71</v>
      </c>
    </row>
    <row r="46" spans="1:10" x14ac:dyDescent="0.35">
      <c r="A46" s="30">
        <v>45</v>
      </c>
      <c r="B46" s="30">
        <v>2025</v>
      </c>
      <c r="C46" s="30">
        <v>10603</v>
      </c>
      <c r="D46" s="30">
        <v>1908</v>
      </c>
      <c r="E46" s="30">
        <v>1526</v>
      </c>
      <c r="F46" s="30">
        <v>26507</v>
      </c>
      <c r="G46" s="30">
        <v>11663</v>
      </c>
      <c r="H46" s="30" t="s">
        <v>19</v>
      </c>
      <c r="I46" s="30" t="s">
        <v>42</v>
      </c>
      <c r="J46" s="30">
        <v>54</v>
      </c>
    </row>
    <row r="47" spans="1:10" x14ac:dyDescent="0.35">
      <c r="A47" s="30">
        <v>46</v>
      </c>
      <c r="B47" s="30">
        <v>2025</v>
      </c>
      <c r="C47" s="30">
        <v>12738</v>
      </c>
      <c r="D47" s="30">
        <v>2292</v>
      </c>
      <c r="E47" s="30">
        <v>1833</v>
      </c>
      <c r="F47" s="30">
        <v>31845</v>
      </c>
      <c r="G47" s="30">
        <v>14011</v>
      </c>
      <c r="H47" s="30" t="s">
        <v>19</v>
      </c>
      <c r="I47" s="30" t="s">
        <v>30</v>
      </c>
      <c r="J47" s="30">
        <v>60</v>
      </c>
    </row>
    <row r="48" spans="1:10" x14ac:dyDescent="0.35">
      <c r="A48" s="30">
        <v>47</v>
      </c>
      <c r="B48" s="30">
        <v>2025</v>
      </c>
      <c r="C48" s="30">
        <v>11269</v>
      </c>
      <c r="D48" s="30">
        <v>2028</v>
      </c>
      <c r="E48" s="30">
        <v>1622</v>
      </c>
      <c r="F48" s="30">
        <v>28172</v>
      </c>
      <c r="G48" s="30">
        <v>12395</v>
      </c>
      <c r="H48" s="30" t="s">
        <v>14</v>
      </c>
      <c r="I48" s="30" t="s">
        <v>25</v>
      </c>
      <c r="J48" s="30">
        <v>86</v>
      </c>
    </row>
    <row r="49" spans="1:10" x14ac:dyDescent="0.35">
      <c r="A49" s="30">
        <v>48</v>
      </c>
      <c r="B49" s="30">
        <v>2025</v>
      </c>
      <c r="C49" s="30">
        <v>8037</v>
      </c>
      <c r="D49" s="30">
        <v>1446</v>
      </c>
      <c r="E49" s="30">
        <v>1156</v>
      </c>
      <c r="F49" s="30">
        <v>20092</v>
      </c>
      <c r="G49" s="30">
        <v>8840</v>
      </c>
      <c r="H49" s="30" t="s">
        <v>14</v>
      </c>
      <c r="I49" s="30" t="s">
        <v>28</v>
      </c>
      <c r="J49" s="30">
        <v>48</v>
      </c>
    </row>
    <row r="50" spans="1:10" x14ac:dyDescent="0.35">
      <c r="A50" s="30">
        <v>49</v>
      </c>
      <c r="B50" s="30">
        <v>2025</v>
      </c>
      <c r="C50" s="30">
        <v>7856</v>
      </c>
      <c r="D50" s="30">
        <v>1414</v>
      </c>
      <c r="E50" s="30">
        <v>1131</v>
      </c>
      <c r="F50" s="30">
        <v>19640</v>
      </c>
      <c r="G50" s="30">
        <v>8641</v>
      </c>
      <c r="H50" s="30" t="s">
        <v>19</v>
      </c>
      <c r="I50" s="30" t="s">
        <v>20</v>
      </c>
      <c r="J50" s="30">
        <v>78</v>
      </c>
    </row>
    <row r="51" spans="1:10" x14ac:dyDescent="0.35">
      <c r="A51" s="30">
        <v>50</v>
      </c>
      <c r="B51" s="30">
        <v>2025</v>
      </c>
      <c r="C51" s="30">
        <v>14111</v>
      </c>
      <c r="D51" s="30">
        <v>2539</v>
      </c>
      <c r="E51" s="30">
        <v>2031</v>
      </c>
      <c r="F51" s="30">
        <v>35277</v>
      </c>
      <c r="G51" s="30">
        <v>15522</v>
      </c>
      <c r="H51" s="30" t="s">
        <v>35</v>
      </c>
      <c r="I51" s="30" t="s">
        <v>25</v>
      </c>
      <c r="J51" s="30">
        <v>45</v>
      </c>
    </row>
    <row r="52" spans="1:10" x14ac:dyDescent="0.35">
      <c r="A52" s="30">
        <v>51</v>
      </c>
      <c r="B52" s="30">
        <v>2025</v>
      </c>
      <c r="C52" s="30">
        <v>18669</v>
      </c>
      <c r="D52" s="30">
        <v>3360</v>
      </c>
      <c r="E52" s="30">
        <v>2688</v>
      </c>
      <c r="F52" s="30">
        <v>46672</v>
      </c>
      <c r="G52" s="30">
        <v>20535</v>
      </c>
      <c r="H52" s="30" t="s">
        <v>14</v>
      </c>
      <c r="I52" s="30" t="s">
        <v>30</v>
      </c>
      <c r="J52" s="30">
        <v>59</v>
      </c>
    </row>
    <row r="53" spans="1:10" x14ac:dyDescent="0.35">
      <c r="A53" s="30">
        <v>52</v>
      </c>
      <c r="B53" s="30">
        <v>2025</v>
      </c>
      <c r="C53" s="30">
        <v>18052</v>
      </c>
      <c r="D53" s="30">
        <v>3249</v>
      </c>
      <c r="E53" s="30">
        <v>2599</v>
      </c>
      <c r="F53" s="30">
        <v>45130</v>
      </c>
      <c r="G53" s="30">
        <v>19857</v>
      </c>
      <c r="H53" s="30" t="s">
        <v>16</v>
      </c>
      <c r="I53" s="30" t="s">
        <v>30</v>
      </c>
      <c r="J53" s="30">
        <v>87</v>
      </c>
    </row>
    <row r="54" spans="1:10" x14ac:dyDescent="0.35">
      <c r="A54" s="30">
        <v>53</v>
      </c>
      <c r="B54" s="30">
        <v>2025</v>
      </c>
      <c r="C54" s="30">
        <v>19320</v>
      </c>
      <c r="D54" s="30">
        <v>3477</v>
      </c>
      <c r="E54" s="30">
        <v>2781</v>
      </c>
      <c r="F54" s="30">
        <v>48300</v>
      </c>
      <c r="G54" s="30">
        <v>21252</v>
      </c>
      <c r="H54" s="30" t="s">
        <v>38</v>
      </c>
      <c r="I54" s="30" t="s">
        <v>15</v>
      </c>
      <c r="J54" s="30">
        <v>48</v>
      </c>
    </row>
    <row r="55" spans="1:10" x14ac:dyDescent="0.35">
      <c r="A55" s="30">
        <v>54</v>
      </c>
      <c r="B55" s="30">
        <v>2025</v>
      </c>
      <c r="C55" s="30">
        <v>16675</v>
      </c>
      <c r="D55" s="30">
        <v>3001</v>
      </c>
      <c r="E55" s="30">
        <v>2400</v>
      </c>
      <c r="F55" s="30">
        <v>41687</v>
      </c>
      <c r="G55" s="30">
        <v>18342</v>
      </c>
      <c r="H55" s="30" t="s">
        <v>14</v>
      </c>
      <c r="I55" s="30" t="s">
        <v>20</v>
      </c>
      <c r="J55" s="30">
        <v>94</v>
      </c>
    </row>
    <row r="56" spans="1:10" x14ac:dyDescent="0.35">
      <c r="A56" s="30">
        <v>55</v>
      </c>
      <c r="B56" s="30">
        <v>2025</v>
      </c>
      <c r="C56" s="30">
        <v>12120</v>
      </c>
      <c r="D56" s="30">
        <v>2181</v>
      </c>
      <c r="E56" s="30">
        <v>1744</v>
      </c>
      <c r="F56" s="30">
        <v>30300</v>
      </c>
      <c r="G56" s="30">
        <v>13332</v>
      </c>
      <c r="H56" s="30" t="s">
        <v>38</v>
      </c>
      <c r="I56" s="30" t="s">
        <v>25</v>
      </c>
      <c r="J56" s="30">
        <v>87</v>
      </c>
    </row>
    <row r="57" spans="1:10" x14ac:dyDescent="0.35">
      <c r="A57" s="30">
        <v>56</v>
      </c>
      <c r="B57" s="30">
        <v>2025</v>
      </c>
      <c r="C57" s="30">
        <v>2828</v>
      </c>
      <c r="D57" s="30">
        <v>509</v>
      </c>
      <c r="E57" s="30">
        <v>407</v>
      </c>
      <c r="F57" s="30">
        <v>7070</v>
      </c>
      <c r="G57" s="30">
        <v>3110</v>
      </c>
      <c r="H57" s="30" t="s">
        <v>16</v>
      </c>
      <c r="I57" s="30" t="s">
        <v>20</v>
      </c>
      <c r="J57" s="30">
        <v>41</v>
      </c>
    </row>
    <row r="58" spans="1:10" x14ac:dyDescent="0.35">
      <c r="A58" s="30">
        <v>57</v>
      </c>
      <c r="B58" s="30">
        <v>2025</v>
      </c>
      <c r="C58" s="30">
        <v>10696</v>
      </c>
      <c r="D58" s="30">
        <v>1925</v>
      </c>
      <c r="E58" s="30">
        <v>1540</v>
      </c>
      <c r="F58" s="30">
        <v>26740</v>
      </c>
      <c r="G58" s="30">
        <v>11765</v>
      </c>
      <c r="H58" s="30" t="s">
        <v>14</v>
      </c>
      <c r="I58" s="30" t="s">
        <v>15</v>
      </c>
      <c r="J58" s="30">
        <v>90</v>
      </c>
    </row>
    <row r="59" spans="1:10" x14ac:dyDescent="0.35">
      <c r="A59" s="30">
        <v>58</v>
      </c>
      <c r="B59" s="30">
        <v>2025</v>
      </c>
      <c r="C59" s="30">
        <v>23133</v>
      </c>
      <c r="D59" s="30">
        <v>4163</v>
      </c>
      <c r="E59" s="30">
        <v>3330</v>
      </c>
      <c r="F59" s="30">
        <v>57832</v>
      </c>
      <c r="G59" s="30">
        <v>25446</v>
      </c>
      <c r="H59" s="30" t="s">
        <v>19</v>
      </c>
      <c r="I59" s="30" t="s">
        <v>25</v>
      </c>
      <c r="J59" s="30">
        <v>70</v>
      </c>
    </row>
    <row r="60" spans="1:10" x14ac:dyDescent="0.35">
      <c r="A60" s="30">
        <v>59</v>
      </c>
      <c r="B60" s="30">
        <v>2025</v>
      </c>
      <c r="C60" s="30">
        <v>18365</v>
      </c>
      <c r="D60" s="30">
        <v>3305</v>
      </c>
      <c r="E60" s="30">
        <v>2644</v>
      </c>
      <c r="F60" s="30">
        <v>45912</v>
      </c>
      <c r="G60" s="30">
        <v>20201</v>
      </c>
      <c r="H60" s="30" t="s">
        <v>22</v>
      </c>
      <c r="I60" s="30" t="s">
        <v>20</v>
      </c>
      <c r="J60" s="30">
        <v>92</v>
      </c>
    </row>
    <row r="61" spans="1:10" x14ac:dyDescent="0.35">
      <c r="A61" s="30">
        <v>60</v>
      </c>
      <c r="B61" s="30">
        <v>2025</v>
      </c>
      <c r="C61" s="30">
        <v>4998</v>
      </c>
      <c r="D61" s="30">
        <v>899</v>
      </c>
      <c r="E61" s="30">
        <v>719</v>
      </c>
      <c r="F61" s="30">
        <v>12495</v>
      </c>
      <c r="G61" s="30">
        <v>5497</v>
      </c>
      <c r="H61" s="30" t="s">
        <v>16</v>
      </c>
      <c r="I61" s="30" t="s">
        <v>20</v>
      </c>
      <c r="J61" s="30">
        <v>70</v>
      </c>
    </row>
    <row r="62" spans="1:10" x14ac:dyDescent="0.35">
      <c r="A62" s="30">
        <v>61</v>
      </c>
      <c r="B62" s="30">
        <v>2025</v>
      </c>
      <c r="C62" s="30">
        <v>24418</v>
      </c>
      <c r="D62" s="30">
        <v>4395</v>
      </c>
      <c r="E62" s="30">
        <v>3516</v>
      </c>
      <c r="F62" s="30">
        <v>61045</v>
      </c>
      <c r="G62" s="30">
        <v>26859</v>
      </c>
      <c r="H62" s="30" t="s">
        <v>16</v>
      </c>
      <c r="I62" s="30" t="s">
        <v>30</v>
      </c>
      <c r="J62" s="30">
        <v>55</v>
      </c>
    </row>
    <row r="63" spans="1:10" x14ac:dyDescent="0.35">
      <c r="A63" s="30">
        <v>62</v>
      </c>
      <c r="B63" s="30">
        <v>2025</v>
      </c>
      <c r="C63" s="30">
        <v>14768</v>
      </c>
      <c r="D63" s="30">
        <v>2658</v>
      </c>
      <c r="E63" s="30">
        <v>2126</v>
      </c>
      <c r="F63" s="30">
        <v>36920</v>
      </c>
      <c r="G63" s="30">
        <v>16244</v>
      </c>
      <c r="H63" s="30" t="s">
        <v>38</v>
      </c>
      <c r="I63" s="30" t="s">
        <v>20</v>
      </c>
      <c r="J63" s="30">
        <v>36</v>
      </c>
    </row>
    <row r="64" spans="1:10" x14ac:dyDescent="0.35">
      <c r="A64" s="30">
        <v>63</v>
      </c>
      <c r="B64" s="30">
        <v>2025</v>
      </c>
      <c r="C64" s="30">
        <v>11967</v>
      </c>
      <c r="D64" s="30">
        <v>2154</v>
      </c>
      <c r="E64" s="30">
        <v>1723</v>
      </c>
      <c r="F64" s="30">
        <v>29917</v>
      </c>
      <c r="G64" s="30">
        <v>13163</v>
      </c>
      <c r="H64" s="30" t="s">
        <v>38</v>
      </c>
      <c r="I64" s="30" t="s">
        <v>25</v>
      </c>
      <c r="J64" s="30">
        <v>36</v>
      </c>
    </row>
    <row r="65" spans="1:10" x14ac:dyDescent="0.35">
      <c r="A65" s="30">
        <v>64</v>
      </c>
      <c r="B65" s="30">
        <v>2025</v>
      </c>
      <c r="C65" s="30">
        <v>26271</v>
      </c>
      <c r="D65" s="30">
        <v>4728</v>
      </c>
      <c r="E65" s="30">
        <v>3782</v>
      </c>
      <c r="F65" s="30">
        <v>65677</v>
      </c>
      <c r="G65" s="30">
        <v>28898</v>
      </c>
      <c r="H65" s="30" t="s">
        <v>38</v>
      </c>
      <c r="I65" s="30" t="s">
        <v>42</v>
      </c>
      <c r="J65" s="30">
        <v>45</v>
      </c>
    </row>
    <row r="66" spans="1:10" x14ac:dyDescent="0.35">
      <c r="A66" s="30">
        <v>65</v>
      </c>
      <c r="B66" s="30">
        <v>2025</v>
      </c>
      <c r="C66" s="30">
        <v>7140</v>
      </c>
      <c r="D66" s="30">
        <v>1285</v>
      </c>
      <c r="E66" s="30">
        <v>1028</v>
      </c>
      <c r="F66" s="30">
        <v>17850</v>
      </c>
      <c r="G66" s="30">
        <v>7854</v>
      </c>
      <c r="H66" s="30" t="s">
        <v>16</v>
      </c>
      <c r="I66" s="30" t="s">
        <v>42</v>
      </c>
      <c r="J66" s="30">
        <v>81</v>
      </c>
    </row>
    <row r="67" spans="1:10" x14ac:dyDescent="0.35">
      <c r="A67" s="30">
        <v>66</v>
      </c>
      <c r="B67" s="30">
        <v>2025</v>
      </c>
      <c r="C67" s="30">
        <v>16273</v>
      </c>
      <c r="D67" s="30">
        <v>2929</v>
      </c>
      <c r="E67" s="30">
        <v>2343</v>
      </c>
      <c r="F67" s="30">
        <v>40682</v>
      </c>
      <c r="G67" s="30">
        <v>17900</v>
      </c>
      <c r="H67" s="30" t="s">
        <v>38</v>
      </c>
      <c r="I67" s="30" t="s">
        <v>30</v>
      </c>
      <c r="J67" s="30">
        <v>91</v>
      </c>
    </row>
    <row r="68" spans="1:10" x14ac:dyDescent="0.35">
      <c r="A68" s="30">
        <v>67</v>
      </c>
      <c r="B68" s="30">
        <v>2025</v>
      </c>
      <c r="C68" s="30">
        <v>15964</v>
      </c>
      <c r="D68" s="30">
        <v>2873</v>
      </c>
      <c r="E68" s="30">
        <v>2298</v>
      </c>
      <c r="F68" s="30">
        <v>39910</v>
      </c>
      <c r="G68" s="30">
        <v>17560</v>
      </c>
      <c r="H68" s="30" t="s">
        <v>35</v>
      </c>
      <c r="I68" s="30" t="s">
        <v>28</v>
      </c>
      <c r="J68" s="30">
        <v>65</v>
      </c>
    </row>
    <row r="69" spans="1:10" x14ac:dyDescent="0.35">
      <c r="A69" s="30">
        <v>68</v>
      </c>
      <c r="B69" s="30">
        <v>2025</v>
      </c>
      <c r="C69" s="30">
        <v>6286</v>
      </c>
      <c r="D69" s="30">
        <v>1131</v>
      </c>
      <c r="E69" s="30">
        <v>904</v>
      </c>
      <c r="F69" s="30">
        <v>15715</v>
      </c>
      <c r="G69" s="30">
        <v>6914</v>
      </c>
      <c r="H69" s="30" t="s">
        <v>14</v>
      </c>
      <c r="I69" s="30" t="s">
        <v>28</v>
      </c>
      <c r="J69" s="30">
        <v>65</v>
      </c>
    </row>
    <row r="70" spans="1:10" x14ac:dyDescent="0.35">
      <c r="A70" s="30">
        <v>69</v>
      </c>
      <c r="B70" s="30">
        <v>2025</v>
      </c>
      <c r="C70" s="30">
        <v>8351</v>
      </c>
      <c r="D70" s="30">
        <v>1503</v>
      </c>
      <c r="E70" s="30">
        <v>1202</v>
      </c>
      <c r="F70" s="30">
        <v>20877</v>
      </c>
      <c r="G70" s="30">
        <v>9186</v>
      </c>
      <c r="H70" s="30" t="s">
        <v>22</v>
      </c>
      <c r="I70" s="30" t="s">
        <v>15</v>
      </c>
      <c r="J70" s="30">
        <v>47</v>
      </c>
    </row>
    <row r="71" spans="1:10" x14ac:dyDescent="0.35">
      <c r="A71" s="30">
        <v>70</v>
      </c>
      <c r="B71" s="30">
        <v>2025</v>
      </c>
      <c r="C71" s="30">
        <v>2129</v>
      </c>
      <c r="D71" s="30">
        <v>383</v>
      </c>
      <c r="E71" s="30">
        <v>306</v>
      </c>
      <c r="F71" s="30">
        <v>5322</v>
      </c>
      <c r="G71" s="30">
        <v>2341</v>
      </c>
      <c r="H71" s="30" t="s">
        <v>19</v>
      </c>
      <c r="I71" s="30" t="s">
        <v>15</v>
      </c>
      <c r="J71" s="30">
        <v>65</v>
      </c>
    </row>
    <row r="72" spans="1:10" x14ac:dyDescent="0.35">
      <c r="A72" s="30">
        <v>71</v>
      </c>
      <c r="B72" s="30">
        <v>2025</v>
      </c>
      <c r="C72" s="30">
        <v>518</v>
      </c>
      <c r="D72" s="30">
        <v>93</v>
      </c>
      <c r="E72" s="30">
        <v>74</v>
      </c>
      <c r="F72" s="30">
        <v>1295</v>
      </c>
      <c r="G72" s="30">
        <v>569</v>
      </c>
      <c r="H72" s="30" t="s">
        <v>38</v>
      </c>
      <c r="I72" s="30" t="s">
        <v>15</v>
      </c>
      <c r="J72" s="30">
        <v>63</v>
      </c>
    </row>
    <row r="73" spans="1:10" x14ac:dyDescent="0.35">
      <c r="A73" s="30">
        <v>72</v>
      </c>
      <c r="B73" s="30">
        <v>2025</v>
      </c>
      <c r="C73" s="30">
        <v>23978</v>
      </c>
      <c r="D73" s="30">
        <v>4316</v>
      </c>
      <c r="E73" s="30">
        <v>3452</v>
      </c>
      <c r="F73" s="30">
        <v>59945</v>
      </c>
      <c r="G73" s="30">
        <v>26375</v>
      </c>
      <c r="H73" s="30" t="s">
        <v>22</v>
      </c>
      <c r="I73" s="30" t="s">
        <v>30</v>
      </c>
      <c r="J73" s="30">
        <v>61</v>
      </c>
    </row>
    <row r="74" spans="1:10" x14ac:dyDescent="0.35">
      <c r="A74" s="30">
        <v>73</v>
      </c>
      <c r="B74" s="30">
        <v>2025</v>
      </c>
      <c r="C74" s="30">
        <v>1663</v>
      </c>
      <c r="D74" s="30">
        <v>299</v>
      </c>
      <c r="E74" s="30">
        <v>239</v>
      </c>
      <c r="F74" s="30">
        <v>4157</v>
      </c>
      <c r="G74" s="30">
        <v>1829</v>
      </c>
      <c r="H74" s="30" t="s">
        <v>38</v>
      </c>
      <c r="I74" s="30" t="s">
        <v>30</v>
      </c>
      <c r="J74" s="30">
        <v>38</v>
      </c>
    </row>
    <row r="75" spans="1:10" x14ac:dyDescent="0.35">
      <c r="A75" s="30">
        <v>74</v>
      </c>
      <c r="B75" s="30">
        <v>2025</v>
      </c>
      <c r="C75" s="30">
        <v>29210</v>
      </c>
      <c r="D75" s="30">
        <v>5257</v>
      </c>
      <c r="E75" s="30">
        <v>4205</v>
      </c>
      <c r="F75" s="30">
        <v>73025</v>
      </c>
      <c r="G75" s="30">
        <v>32131</v>
      </c>
      <c r="H75" s="30" t="s">
        <v>35</v>
      </c>
      <c r="I75" s="30" t="s">
        <v>42</v>
      </c>
      <c r="J75" s="30">
        <v>48</v>
      </c>
    </row>
    <row r="76" spans="1:10" x14ac:dyDescent="0.35">
      <c r="A76" s="30">
        <v>75</v>
      </c>
      <c r="B76" s="30">
        <v>2025</v>
      </c>
      <c r="C76" s="30">
        <v>24752</v>
      </c>
      <c r="D76" s="30">
        <v>4455</v>
      </c>
      <c r="E76" s="30">
        <v>3564</v>
      </c>
      <c r="F76" s="30">
        <v>61880</v>
      </c>
      <c r="G76" s="30">
        <v>27227</v>
      </c>
      <c r="H76" s="30" t="s">
        <v>14</v>
      </c>
      <c r="I76" s="30" t="s">
        <v>30</v>
      </c>
      <c r="J76" s="30">
        <v>85</v>
      </c>
    </row>
    <row r="77" spans="1:10" x14ac:dyDescent="0.35">
      <c r="A77" s="30">
        <v>76</v>
      </c>
      <c r="B77" s="30">
        <v>2025</v>
      </c>
      <c r="C77" s="30">
        <v>15757</v>
      </c>
      <c r="D77" s="30">
        <v>2836</v>
      </c>
      <c r="E77" s="30">
        <v>2268</v>
      </c>
      <c r="F77" s="30">
        <v>39392</v>
      </c>
      <c r="G77" s="30">
        <v>17332</v>
      </c>
      <c r="H77" s="30" t="s">
        <v>22</v>
      </c>
      <c r="I77" s="30" t="s">
        <v>42</v>
      </c>
      <c r="J77" s="30">
        <v>83</v>
      </c>
    </row>
    <row r="78" spans="1:10" x14ac:dyDescent="0.35">
      <c r="A78" s="30">
        <v>77</v>
      </c>
      <c r="B78" s="30">
        <v>2025</v>
      </c>
      <c r="C78" s="30">
        <v>17867</v>
      </c>
      <c r="D78" s="30">
        <v>3216</v>
      </c>
      <c r="E78" s="30">
        <v>2572</v>
      </c>
      <c r="F78" s="30">
        <v>44667</v>
      </c>
      <c r="G78" s="30">
        <v>19653</v>
      </c>
      <c r="H78" s="30" t="s">
        <v>35</v>
      </c>
      <c r="I78" s="30" t="s">
        <v>42</v>
      </c>
      <c r="J78" s="30">
        <v>78</v>
      </c>
    </row>
    <row r="79" spans="1:10" x14ac:dyDescent="0.35">
      <c r="A79" s="30">
        <v>78</v>
      </c>
      <c r="B79" s="30">
        <v>2025</v>
      </c>
      <c r="C79" s="30">
        <v>9411</v>
      </c>
      <c r="D79" s="30">
        <v>1693</v>
      </c>
      <c r="E79" s="30">
        <v>1354</v>
      </c>
      <c r="F79" s="30">
        <v>23527</v>
      </c>
      <c r="G79" s="30">
        <v>10352</v>
      </c>
      <c r="H79" s="30" t="s">
        <v>35</v>
      </c>
      <c r="I79" s="30" t="s">
        <v>25</v>
      </c>
      <c r="J79" s="30">
        <v>50</v>
      </c>
    </row>
    <row r="80" spans="1:10" x14ac:dyDescent="0.35">
      <c r="A80" s="30">
        <v>79</v>
      </c>
      <c r="B80" s="30">
        <v>2025</v>
      </c>
      <c r="C80" s="30">
        <v>22647</v>
      </c>
      <c r="D80" s="30">
        <v>4076</v>
      </c>
      <c r="E80" s="30">
        <v>3260</v>
      </c>
      <c r="F80" s="30">
        <v>56617</v>
      </c>
      <c r="G80" s="30">
        <v>24911</v>
      </c>
      <c r="H80" s="30" t="s">
        <v>19</v>
      </c>
      <c r="I80" s="30" t="s">
        <v>30</v>
      </c>
      <c r="J80" s="30">
        <v>82</v>
      </c>
    </row>
    <row r="81" spans="1:10" x14ac:dyDescent="0.35">
      <c r="A81" s="30">
        <v>80</v>
      </c>
      <c r="B81" s="30">
        <v>2025</v>
      </c>
      <c r="C81" s="30">
        <v>16300</v>
      </c>
      <c r="D81" s="30">
        <v>2934</v>
      </c>
      <c r="E81" s="30">
        <v>2347</v>
      </c>
      <c r="F81" s="30">
        <v>40750</v>
      </c>
      <c r="G81" s="30">
        <v>17930</v>
      </c>
      <c r="H81" s="30" t="s">
        <v>35</v>
      </c>
      <c r="I81" s="30" t="s">
        <v>28</v>
      </c>
      <c r="J81" s="30">
        <v>64</v>
      </c>
    </row>
    <row r="82" spans="1:10" x14ac:dyDescent="0.35">
      <c r="A82" s="30">
        <v>81</v>
      </c>
      <c r="B82" s="30">
        <v>2025</v>
      </c>
      <c r="C82" s="30">
        <v>20677</v>
      </c>
      <c r="D82" s="30">
        <v>3721</v>
      </c>
      <c r="E82" s="30">
        <v>2976</v>
      </c>
      <c r="F82" s="30">
        <v>51692</v>
      </c>
      <c r="G82" s="30">
        <v>22744</v>
      </c>
      <c r="H82" s="30" t="s">
        <v>19</v>
      </c>
      <c r="I82" s="30" t="s">
        <v>28</v>
      </c>
      <c r="J82" s="30">
        <v>58</v>
      </c>
    </row>
    <row r="83" spans="1:10" x14ac:dyDescent="0.35">
      <c r="A83" s="30">
        <v>82</v>
      </c>
      <c r="B83" s="30">
        <v>2025</v>
      </c>
      <c r="C83" s="30">
        <v>6205</v>
      </c>
      <c r="D83" s="30">
        <v>1116</v>
      </c>
      <c r="E83" s="30">
        <v>892</v>
      </c>
      <c r="F83" s="30">
        <v>15512</v>
      </c>
      <c r="G83" s="30">
        <v>6825</v>
      </c>
      <c r="H83" s="30" t="s">
        <v>19</v>
      </c>
      <c r="I83" s="30" t="s">
        <v>25</v>
      </c>
      <c r="J83" s="30">
        <v>38</v>
      </c>
    </row>
    <row r="84" spans="1:10" x14ac:dyDescent="0.35">
      <c r="A84" s="30">
        <v>83</v>
      </c>
      <c r="B84" s="30">
        <v>2025</v>
      </c>
      <c r="C84" s="30">
        <v>19306</v>
      </c>
      <c r="D84" s="30">
        <v>3475</v>
      </c>
      <c r="E84" s="30">
        <v>2780</v>
      </c>
      <c r="F84" s="30">
        <v>48265</v>
      </c>
      <c r="G84" s="30">
        <v>21236</v>
      </c>
      <c r="H84" s="30" t="s">
        <v>16</v>
      </c>
      <c r="I84" s="30" t="s">
        <v>42</v>
      </c>
      <c r="J84" s="30">
        <v>88</v>
      </c>
    </row>
    <row r="85" spans="1:10" x14ac:dyDescent="0.35">
      <c r="A85" s="30">
        <v>84</v>
      </c>
      <c r="B85" s="30">
        <v>2025</v>
      </c>
      <c r="C85" s="30">
        <v>7497</v>
      </c>
      <c r="D85" s="30">
        <v>1349</v>
      </c>
      <c r="E85" s="30">
        <v>1079</v>
      </c>
      <c r="F85" s="30">
        <v>18742</v>
      </c>
      <c r="G85" s="30">
        <v>8246</v>
      </c>
      <c r="H85" s="30" t="s">
        <v>16</v>
      </c>
      <c r="I85" s="30" t="s">
        <v>20</v>
      </c>
      <c r="J85" s="30">
        <v>88</v>
      </c>
    </row>
    <row r="86" spans="1:10" x14ac:dyDescent="0.35">
      <c r="A86" s="30">
        <v>85</v>
      </c>
      <c r="B86" s="30">
        <v>2025</v>
      </c>
      <c r="C86" s="30">
        <v>12607</v>
      </c>
      <c r="D86" s="30">
        <v>2269</v>
      </c>
      <c r="E86" s="30">
        <v>1815</v>
      </c>
      <c r="F86" s="30">
        <v>31517</v>
      </c>
      <c r="G86" s="30">
        <v>13867</v>
      </c>
      <c r="H86" s="30" t="s">
        <v>16</v>
      </c>
      <c r="I86" s="30" t="s">
        <v>20</v>
      </c>
      <c r="J86" s="30">
        <v>51</v>
      </c>
    </row>
    <row r="87" spans="1:10" x14ac:dyDescent="0.35">
      <c r="A87" s="30">
        <v>86</v>
      </c>
      <c r="B87" s="30">
        <v>2025</v>
      </c>
      <c r="C87" s="30">
        <v>23349</v>
      </c>
      <c r="D87" s="30">
        <v>4202</v>
      </c>
      <c r="E87" s="30">
        <v>3361</v>
      </c>
      <c r="F87" s="30">
        <v>58372</v>
      </c>
      <c r="G87" s="30">
        <v>25683</v>
      </c>
      <c r="H87" s="30" t="s">
        <v>16</v>
      </c>
      <c r="I87" s="30" t="s">
        <v>28</v>
      </c>
      <c r="J87" s="30">
        <v>72</v>
      </c>
    </row>
    <row r="88" spans="1:10" x14ac:dyDescent="0.35">
      <c r="A88" s="30">
        <v>87</v>
      </c>
      <c r="B88" s="30">
        <v>2025</v>
      </c>
      <c r="C88" s="30">
        <v>887</v>
      </c>
      <c r="D88" s="30">
        <v>159</v>
      </c>
      <c r="E88" s="30">
        <v>127</v>
      </c>
      <c r="F88" s="30">
        <v>2217</v>
      </c>
      <c r="G88" s="30">
        <v>975</v>
      </c>
      <c r="H88" s="30" t="s">
        <v>16</v>
      </c>
      <c r="I88" s="30" t="s">
        <v>42</v>
      </c>
      <c r="J88" s="30">
        <v>67</v>
      </c>
    </row>
    <row r="89" spans="1:10" x14ac:dyDescent="0.35">
      <c r="A89" s="30">
        <v>88</v>
      </c>
      <c r="B89" s="30">
        <v>2025</v>
      </c>
      <c r="C89" s="30">
        <v>23719</v>
      </c>
      <c r="D89" s="30">
        <v>4269</v>
      </c>
      <c r="E89" s="30">
        <v>3415</v>
      </c>
      <c r="F89" s="30">
        <v>59297</v>
      </c>
      <c r="G89" s="30">
        <v>26090</v>
      </c>
      <c r="H89" s="30" t="s">
        <v>22</v>
      </c>
      <c r="I89" s="30" t="s">
        <v>25</v>
      </c>
      <c r="J89" s="30">
        <v>85</v>
      </c>
    </row>
    <row r="90" spans="1:10" x14ac:dyDescent="0.35">
      <c r="A90" s="30">
        <v>89</v>
      </c>
      <c r="B90" s="30">
        <v>2025</v>
      </c>
      <c r="C90" s="30">
        <v>27429</v>
      </c>
      <c r="D90" s="30">
        <v>4937</v>
      </c>
      <c r="E90" s="30">
        <v>3949</v>
      </c>
      <c r="F90" s="30">
        <v>68572</v>
      </c>
      <c r="G90" s="30">
        <v>30171</v>
      </c>
      <c r="H90" s="30" t="s">
        <v>38</v>
      </c>
      <c r="I90" s="30" t="s">
        <v>15</v>
      </c>
      <c r="J90" s="30">
        <v>46</v>
      </c>
    </row>
    <row r="91" spans="1:10" x14ac:dyDescent="0.35">
      <c r="A91" s="30">
        <v>90</v>
      </c>
      <c r="B91" s="30">
        <v>2025</v>
      </c>
      <c r="C91" s="30">
        <v>23768</v>
      </c>
      <c r="D91" s="30">
        <v>4278</v>
      </c>
      <c r="E91" s="30">
        <v>3422</v>
      </c>
      <c r="F91" s="30">
        <v>59420</v>
      </c>
      <c r="G91" s="30">
        <v>26144</v>
      </c>
      <c r="H91" s="30" t="s">
        <v>14</v>
      </c>
      <c r="I91" s="30" t="s">
        <v>28</v>
      </c>
      <c r="J91" s="30">
        <v>59</v>
      </c>
    </row>
    <row r="92" spans="1:10" x14ac:dyDescent="0.35">
      <c r="A92" s="30">
        <v>91</v>
      </c>
      <c r="B92" s="30">
        <v>2025</v>
      </c>
      <c r="C92" s="30">
        <v>11315</v>
      </c>
      <c r="D92" s="30">
        <v>2036</v>
      </c>
      <c r="E92" s="30">
        <v>1628</v>
      </c>
      <c r="F92" s="30">
        <v>28287</v>
      </c>
      <c r="G92" s="30">
        <v>12446</v>
      </c>
      <c r="H92" s="30" t="s">
        <v>14</v>
      </c>
      <c r="I92" s="30" t="s">
        <v>42</v>
      </c>
      <c r="J92" s="30">
        <v>64</v>
      </c>
    </row>
    <row r="93" spans="1:10" x14ac:dyDescent="0.35">
      <c r="A93" s="30">
        <v>92</v>
      </c>
      <c r="B93" s="30">
        <v>2025</v>
      </c>
      <c r="C93" s="30">
        <v>8703</v>
      </c>
      <c r="D93" s="30">
        <v>1566</v>
      </c>
      <c r="E93" s="30">
        <v>1252</v>
      </c>
      <c r="F93" s="30">
        <v>21757</v>
      </c>
      <c r="G93" s="30">
        <v>9573</v>
      </c>
      <c r="H93" s="30" t="s">
        <v>22</v>
      </c>
      <c r="I93" s="30" t="s">
        <v>25</v>
      </c>
      <c r="J93" s="30">
        <v>73</v>
      </c>
    </row>
    <row r="94" spans="1:10" x14ac:dyDescent="0.35">
      <c r="A94" s="30">
        <v>93</v>
      </c>
      <c r="B94" s="30">
        <v>2025</v>
      </c>
      <c r="C94" s="30">
        <v>28663</v>
      </c>
      <c r="D94" s="30">
        <v>5159</v>
      </c>
      <c r="E94" s="30">
        <v>4127</v>
      </c>
      <c r="F94" s="30">
        <v>71657</v>
      </c>
      <c r="G94" s="30">
        <v>31529</v>
      </c>
      <c r="H94" s="30" t="s">
        <v>38</v>
      </c>
      <c r="I94" s="30" t="s">
        <v>42</v>
      </c>
      <c r="J94" s="30">
        <v>77</v>
      </c>
    </row>
    <row r="95" spans="1:10" x14ac:dyDescent="0.35">
      <c r="A95" s="30">
        <v>94</v>
      </c>
      <c r="B95" s="30">
        <v>2025</v>
      </c>
      <c r="C95" s="30">
        <v>10232</v>
      </c>
      <c r="D95" s="30">
        <v>1841</v>
      </c>
      <c r="E95" s="30">
        <v>1472</v>
      </c>
      <c r="F95" s="30">
        <v>25580</v>
      </c>
      <c r="G95" s="30">
        <v>11255</v>
      </c>
      <c r="H95" s="30" t="s">
        <v>38</v>
      </c>
      <c r="I95" s="30" t="s">
        <v>28</v>
      </c>
      <c r="J95" s="30">
        <v>80</v>
      </c>
    </row>
    <row r="96" spans="1:10" x14ac:dyDescent="0.35">
      <c r="A96" s="30">
        <v>95</v>
      </c>
      <c r="B96" s="30">
        <v>2025</v>
      </c>
      <c r="C96" s="30">
        <v>1378</v>
      </c>
      <c r="D96" s="30">
        <v>248</v>
      </c>
      <c r="E96" s="30">
        <v>198</v>
      </c>
      <c r="F96" s="30">
        <v>3445</v>
      </c>
      <c r="G96" s="30">
        <v>1515</v>
      </c>
      <c r="H96" s="30" t="s">
        <v>22</v>
      </c>
      <c r="I96" s="30" t="s">
        <v>28</v>
      </c>
      <c r="J96" s="30">
        <v>70</v>
      </c>
    </row>
    <row r="97" spans="1:10" x14ac:dyDescent="0.35">
      <c r="A97" s="30">
        <v>96</v>
      </c>
      <c r="B97" s="30">
        <v>2025</v>
      </c>
      <c r="C97" s="30">
        <v>11888</v>
      </c>
      <c r="D97" s="30">
        <v>2139</v>
      </c>
      <c r="E97" s="30">
        <v>1711</v>
      </c>
      <c r="F97" s="30">
        <v>29720</v>
      </c>
      <c r="G97" s="30">
        <v>13076</v>
      </c>
      <c r="H97" s="30" t="s">
        <v>19</v>
      </c>
      <c r="I97" s="30" t="s">
        <v>15</v>
      </c>
      <c r="J97" s="30">
        <v>92</v>
      </c>
    </row>
    <row r="98" spans="1:10" x14ac:dyDescent="0.35">
      <c r="A98" s="30">
        <v>97</v>
      </c>
      <c r="B98" s="30">
        <v>2025</v>
      </c>
      <c r="C98" s="30">
        <v>9472</v>
      </c>
      <c r="D98" s="30">
        <v>1704</v>
      </c>
      <c r="E98" s="30">
        <v>1363</v>
      </c>
      <c r="F98" s="30">
        <v>23680</v>
      </c>
      <c r="G98" s="30">
        <v>10419</v>
      </c>
      <c r="H98" s="30" t="s">
        <v>19</v>
      </c>
      <c r="I98" s="30" t="s">
        <v>20</v>
      </c>
      <c r="J98" s="30">
        <v>46</v>
      </c>
    </row>
    <row r="99" spans="1:10" x14ac:dyDescent="0.35">
      <c r="A99" s="30">
        <v>98</v>
      </c>
      <c r="B99" s="30">
        <v>2025</v>
      </c>
      <c r="C99" s="30">
        <v>18712</v>
      </c>
      <c r="D99" s="30">
        <v>3368</v>
      </c>
      <c r="E99" s="30">
        <v>2694</v>
      </c>
      <c r="F99" s="30">
        <v>46780</v>
      </c>
      <c r="G99" s="30">
        <v>20583</v>
      </c>
      <c r="H99" s="30" t="s">
        <v>35</v>
      </c>
      <c r="I99" s="30" t="s">
        <v>42</v>
      </c>
      <c r="J99" s="30">
        <v>65</v>
      </c>
    </row>
    <row r="100" spans="1:10" x14ac:dyDescent="0.35">
      <c r="A100" s="30">
        <v>99</v>
      </c>
      <c r="B100" s="30">
        <v>2025</v>
      </c>
      <c r="C100" s="30">
        <v>27847</v>
      </c>
      <c r="D100" s="30">
        <v>5012</v>
      </c>
      <c r="E100" s="30">
        <v>4009</v>
      </c>
      <c r="F100" s="30">
        <v>69617</v>
      </c>
      <c r="G100" s="30">
        <v>30631</v>
      </c>
      <c r="H100" s="30" t="s">
        <v>16</v>
      </c>
      <c r="I100" s="30" t="s">
        <v>20</v>
      </c>
      <c r="J100" s="30">
        <v>51</v>
      </c>
    </row>
    <row r="101" spans="1:10" x14ac:dyDescent="0.35">
      <c r="A101" s="30">
        <v>100</v>
      </c>
      <c r="B101" s="30">
        <v>2025</v>
      </c>
      <c r="C101" s="30">
        <v>14273</v>
      </c>
      <c r="D101" s="30">
        <v>2569</v>
      </c>
      <c r="E101" s="30">
        <v>2055</v>
      </c>
      <c r="F101" s="30">
        <v>35682</v>
      </c>
      <c r="G101" s="30">
        <v>15700</v>
      </c>
      <c r="H101" s="30" t="s">
        <v>16</v>
      </c>
      <c r="I101" s="30" t="s">
        <v>20</v>
      </c>
      <c r="J101" s="30">
        <v>84</v>
      </c>
    </row>
  </sheetData>
  <dataValidations count="1">
    <dataValidation allowBlank="1" showInputMessage="1" showErrorMessage="1" sqref="H1:H101" xr:uid="{EA310592-0344-4767-B4D7-96940800BFAD}"/>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007B3-858A-4791-8624-4988DF2C07B9}">
  <sheetPr codeName="Sheet6"/>
  <dimension ref="A1:W23"/>
  <sheetViews>
    <sheetView zoomScale="75" zoomScaleNormal="75" workbookViewId="0">
      <selection activeCell="G14" sqref="G14"/>
    </sheetView>
  </sheetViews>
  <sheetFormatPr defaultRowHeight="14.5" x14ac:dyDescent="0.35"/>
  <cols>
    <col min="1" max="1" width="22.26953125" bestFit="1" customWidth="1"/>
    <col min="2" max="2" width="10.7265625" bestFit="1" customWidth="1"/>
    <col min="3" max="3" width="7.6328125" bestFit="1" customWidth="1"/>
    <col min="4" max="4" width="10" bestFit="1" customWidth="1"/>
    <col min="5" max="5" width="12.90625" bestFit="1" customWidth="1"/>
    <col min="6" max="6" width="5.54296875" bestFit="1" customWidth="1"/>
    <col min="7" max="7" width="10.7265625" bestFit="1" customWidth="1"/>
    <col min="8" max="8" width="12.1796875" bestFit="1" customWidth="1"/>
    <col min="9" max="9" width="8" bestFit="1" customWidth="1"/>
    <col min="10" max="10" width="10.81640625" bestFit="1" customWidth="1"/>
    <col min="11" max="11" width="14.453125" bestFit="1" customWidth="1"/>
    <col min="12" max="12" width="6.26953125" bestFit="1" customWidth="1"/>
    <col min="13" max="13" width="11.26953125" bestFit="1" customWidth="1"/>
    <col min="14" max="14" width="12.7265625" bestFit="1" customWidth="1"/>
    <col min="15" max="15" width="11.1796875" bestFit="1" customWidth="1"/>
    <col min="16" max="16" width="8" bestFit="1" customWidth="1"/>
    <col min="17" max="17" width="10.81640625" bestFit="1" customWidth="1"/>
    <col min="18" max="18" width="14.453125" bestFit="1" customWidth="1"/>
    <col min="19" max="19" width="6.26953125" bestFit="1" customWidth="1"/>
    <col min="20" max="20" width="11.26953125" bestFit="1" customWidth="1"/>
    <col min="21" max="21" width="14.453125" bestFit="1" customWidth="1"/>
    <col min="22" max="22" width="8.1796875" bestFit="1" customWidth="1"/>
    <col min="23" max="23" width="8" bestFit="1" customWidth="1"/>
    <col min="24" max="24" width="10.81640625" bestFit="1" customWidth="1"/>
    <col min="25" max="25" width="14.453125" bestFit="1" customWidth="1"/>
    <col min="26" max="26" width="6.26953125" bestFit="1" customWidth="1"/>
    <col min="27" max="28" width="11.26953125" bestFit="1" customWidth="1"/>
    <col min="29" max="29" width="7.1796875" bestFit="1" customWidth="1"/>
    <col min="30" max="30" width="8" bestFit="1" customWidth="1"/>
    <col min="31" max="31" width="10.81640625" bestFit="1" customWidth="1"/>
    <col min="32" max="32" width="14.453125" bestFit="1" customWidth="1"/>
    <col min="33" max="33" width="6.26953125" bestFit="1" customWidth="1"/>
    <col min="34" max="34" width="11.26953125" bestFit="1" customWidth="1"/>
    <col min="35" max="35" width="8.7265625" bestFit="1" customWidth="1"/>
    <col min="36" max="36" width="7.1796875" bestFit="1" customWidth="1"/>
    <col min="37" max="37" width="8" bestFit="1" customWidth="1"/>
    <col min="38" max="38" width="10.81640625" bestFit="1" customWidth="1"/>
    <col min="39" max="39" width="14.453125" bestFit="1" customWidth="1"/>
    <col min="40" max="40" width="6.26953125" bestFit="1" customWidth="1"/>
    <col min="41" max="41" width="11.26953125" bestFit="1" customWidth="1"/>
    <col min="42" max="42" width="9.81640625" bestFit="1" customWidth="1"/>
    <col min="43" max="43" width="11.7265625" bestFit="1" customWidth="1"/>
  </cols>
  <sheetData>
    <row r="1" spans="1:23" ht="78.75" customHeight="1" x14ac:dyDescent="0.35">
      <c r="A1" s="4"/>
      <c r="B1" s="4"/>
      <c r="C1" s="4"/>
      <c r="D1" s="4"/>
      <c r="E1" s="4"/>
      <c r="F1" s="4"/>
      <c r="G1" s="4"/>
      <c r="H1" s="4"/>
      <c r="I1" s="4"/>
      <c r="J1" s="4"/>
      <c r="K1" s="4"/>
      <c r="L1" s="4"/>
      <c r="M1" s="4"/>
      <c r="N1" s="4"/>
      <c r="O1" s="4"/>
      <c r="P1" s="4"/>
      <c r="Q1" s="4"/>
      <c r="R1" s="4"/>
      <c r="S1" s="4"/>
      <c r="T1" s="4"/>
      <c r="U1" s="4"/>
      <c r="V1" s="4"/>
      <c r="W1" s="4"/>
    </row>
    <row r="2" spans="1:23" x14ac:dyDescent="0.35">
      <c r="A2" s="44" t="s">
        <v>163</v>
      </c>
      <c r="B2" s="45" t="s">
        <v>2</v>
      </c>
      <c r="C2" s="45"/>
      <c r="D2" s="45"/>
      <c r="E2" s="45"/>
      <c r="F2" s="45"/>
      <c r="G2" s="45"/>
      <c r="H2" s="4"/>
      <c r="I2" s="4"/>
      <c r="W2" s="4"/>
    </row>
    <row r="3" spans="1:23" x14ac:dyDescent="0.35">
      <c r="A3" s="45" t="s">
        <v>3</v>
      </c>
      <c r="B3" s="45" t="s">
        <v>35</v>
      </c>
      <c r="C3" s="45" t="s">
        <v>19</v>
      </c>
      <c r="D3" s="45" t="s">
        <v>14</v>
      </c>
      <c r="E3" s="45" t="s">
        <v>16</v>
      </c>
      <c r="F3" s="45" t="s">
        <v>22</v>
      </c>
      <c r="G3" s="45" t="s">
        <v>38</v>
      </c>
      <c r="H3" s="4"/>
      <c r="I3" s="4"/>
      <c r="W3" s="4"/>
    </row>
    <row r="4" spans="1:23" x14ac:dyDescent="0.35">
      <c r="A4" s="45" t="s">
        <v>28</v>
      </c>
      <c r="B4" s="46">
        <v>75.25</v>
      </c>
      <c r="C4" s="46">
        <v>58</v>
      </c>
      <c r="D4" s="46">
        <v>57.333333333333336</v>
      </c>
      <c r="E4" s="46">
        <v>75.25</v>
      </c>
      <c r="F4" s="46">
        <v>70</v>
      </c>
      <c r="G4" s="46">
        <v>79</v>
      </c>
      <c r="H4" s="4"/>
      <c r="I4" s="4"/>
      <c r="W4" s="4"/>
    </row>
    <row r="5" spans="1:23" x14ac:dyDescent="0.35">
      <c r="A5" s="45" t="s">
        <v>30</v>
      </c>
      <c r="B5" s="46">
        <v>44</v>
      </c>
      <c r="C5" s="46">
        <v>70.2</v>
      </c>
      <c r="D5" s="46">
        <v>77.666666666666671</v>
      </c>
      <c r="E5" s="46">
        <v>71</v>
      </c>
      <c r="F5" s="46">
        <v>65.333333333333329</v>
      </c>
      <c r="G5" s="46">
        <v>64.333333333333329</v>
      </c>
      <c r="H5" s="4"/>
      <c r="I5" s="4"/>
      <c r="W5" s="4"/>
    </row>
    <row r="6" spans="1:23" x14ac:dyDescent="0.35">
      <c r="A6" s="45" t="s">
        <v>42</v>
      </c>
      <c r="B6" s="46">
        <v>60.5</v>
      </c>
      <c r="C6" s="46">
        <v>58.2</v>
      </c>
      <c r="D6" s="46">
        <v>64</v>
      </c>
      <c r="E6" s="46">
        <v>69</v>
      </c>
      <c r="F6" s="46">
        <v>62.5</v>
      </c>
      <c r="G6" s="46">
        <v>64.333333333333329</v>
      </c>
      <c r="H6" s="4"/>
      <c r="I6" s="4"/>
      <c r="W6" s="4"/>
    </row>
    <row r="7" spans="1:23" x14ac:dyDescent="0.35">
      <c r="A7" s="45" t="s">
        <v>25</v>
      </c>
      <c r="B7" s="46">
        <v>45.333333333333336</v>
      </c>
      <c r="C7" s="46">
        <v>65.333333333333329</v>
      </c>
      <c r="D7" s="46">
        <v>63.333333333333336</v>
      </c>
      <c r="E7" s="46">
        <v>61.5</v>
      </c>
      <c r="F7" s="46">
        <v>79</v>
      </c>
      <c r="G7" s="46">
        <v>61.5</v>
      </c>
      <c r="H7" s="4"/>
      <c r="I7" s="4"/>
      <c r="W7" s="4"/>
    </row>
    <row r="8" spans="1:23" x14ac:dyDescent="0.35">
      <c r="A8" s="45" t="s">
        <v>15</v>
      </c>
      <c r="B8" s="46">
        <v>62</v>
      </c>
      <c r="C8" s="46">
        <v>78.5</v>
      </c>
      <c r="D8" s="46">
        <v>63</v>
      </c>
      <c r="E8" s="46">
        <v>65</v>
      </c>
      <c r="F8" s="46">
        <v>47</v>
      </c>
      <c r="G8" s="46">
        <v>52.333333333333336</v>
      </c>
      <c r="H8" s="4"/>
      <c r="I8" s="4"/>
      <c r="W8" s="4"/>
    </row>
    <row r="9" spans="1:23" x14ac:dyDescent="0.35">
      <c r="A9" s="45" t="s">
        <v>20</v>
      </c>
      <c r="B9" s="46">
        <v>55</v>
      </c>
      <c r="C9" s="46">
        <v>67</v>
      </c>
      <c r="D9" s="46">
        <v>91.5</v>
      </c>
      <c r="E9" s="46">
        <v>63.714285714285715</v>
      </c>
      <c r="F9" s="46">
        <v>67.8</v>
      </c>
      <c r="G9" s="46">
        <v>36</v>
      </c>
      <c r="H9" s="4"/>
      <c r="I9" s="4"/>
      <c r="W9" s="4"/>
    </row>
    <row r="10" spans="1:23" x14ac:dyDescent="0.35">
      <c r="A10" s="4"/>
      <c r="B10" s="4"/>
      <c r="C10" s="4"/>
      <c r="D10" s="4"/>
      <c r="E10" s="4"/>
      <c r="F10" s="4"/>
      <c r="G10" s="4"/>
      <c r="H10" s="4"/>
      <c r="I10" s="4"/>
      <c r="W10" s="4"/>
    </row>
    <row r="11" spans="1:23" x14ac:dyDescent="0.35">
      <c r="A11" s="4"/>
      <c r="B11" s="4"/>
      <c r="C11" s="4"/>
      <c r="D11" s="4"/>
      <c r="E11" s="4"/>
      <c r="F11" s="4"/>
      <c r="G11" s="4"/>
      <c r="H11" s="4"/>
      <c r="I11" s="4"/>
      <c r="W11" s="4"/>
    </row>
    <row r="12" spans="1:23" x14ac:dyDescent="0.35">
      <c r="A12" s="4"/>
      <c r="B12" s="4"/>
      <c r="C12" s="4"/>
      <c r="D12" s="4"/>
      <c r="E12" s="4"/>
      <c r="F12" s="4"/>
      <c r="G12" s="4"/>
      <c r="H12" s="4"/>
      <c r="I12" s="4"/>
      <c r="W12" s="4"/>
    </row>
    <row r="13" spans="1:23" x14ac:dyDescent="0.35">
      <c r="A13" s="4"/>
      <c r="B13" s="4"/>
      <c r="C13" s="4"/>
      <c r="D13" s="4"/>
      <c r="E13" s="4"/>
      <c r="F13" s="4"/>
      <c r="G13" s="4"/>
      <c r="H13" s="4"/>
      <c r="I13" s="4"/>
      <c r="W13" s="4"/>
    </row>
    <row r="14" spans="1:23" x14ac:dyDescent="0.35">
      <c r="A14" s="4"/>
      <c r="B14" s="5"/>
      <c r="C14" s="4"/>
      <c r="D14" s="4"/>
      <c r="E14" s="4"/>
      <c r="F14" s="4"/>
      <c r="G14" s="4"/>
      <c r="H14" s="4"/>
      <c r="I14" s="4"/>
      <c r="W14" s="4"/>
    </row>
    <row r="15" spans="1:23" x14ac:dyDescent="0.35">
      <c r="A15" s="4"/>
      <c r="B15" s="4"/>
      <c r="C15" s="4"/>
      <c r="D15" s="4"/>
      <c r="E15" s="4"/>
      <c r="F15" s="4"/>
      <c r="G15" s="4"/>
      <c r="H15" s="4"/>
      <c r="I15" s="4"/>
      <c r="W15" s="4"/>
    </row>
    <row r="16" spans="1:23" x14ac:dyDescent="0.35">
      <c r="A16" s="4"/>
      <c r="B16" s="4"/>
      <c r="C16" s="4"/>
      <c r="D16" s="4"/>
      <c r="E16" s="4"/>
      <c r="F16" s="4"/>
      <c r="G16" s="4"/>
      <c r="H16" s="4"/>
      <c r="I16" s="4"/>
      <c r="W16" s="4"/>
    </row>
    <row r="17" spans="1:23" x14ac:dyDescent="0.35">
      <c r="A17" s="4"/>
      <c r="B17" s="4"/>
      <c r="C17" s="4"/>
      <c r="D17" s="4"/>
      <c r="E17" s="4"/>
      <c r="F17" s="4"/>
      <c r="G17" s="4"/>
      <c r="H17" s="4"/>
      <c r="I17" s="4"/>
      <c r="W17" s="4"/>
    </row>
    <row r="18" spans="1:23" x14ac:dyDescent="0.35">
      <c r="A18" s="4"/>
      <c r="B18" s="4"/>
      <c r="C18" s="4"/>
      <c r="D18" s="4"/>
      <c r="E18" s="4"/>
      <c r="F18" s="4"/>
      <c r="G18" s="4"/>
      <c r="H18" s="4"/>
      <c r="I18" s="4"/>
      <c r="W18" s="4"/>
    </row>
    <row r="19" spans="1:23" x14ac:dyDescent="0.35">
      <c r="A19" s="4"/>
      <c r="B19" s="4"/>
      <c r="C19" s="4"/>
      <c r="D19" s="4"/>
      <c r="E19" s="4"/>
      <c r="F19" s="4"/>
      <c r="G19" s="4"/>
      <c r="H19" s="4"/>
      <c r="I19" s="4"/>
      <c r="W19" s="4"/>
    </row>
    <row r="20" spans="1:23" x14ac:dyDescent="0.35">
      <c r="A20" s="4"/>
      <c r="B20" s="4"/>
      <c r="C20" s="4"/>
      <c r="D20" s="4"/>
      <c r="E20" s="4"/>
      <c r="F20" s="4"/>
      <c r="G20" s="4"/>
      <c r="H20" s="4"/>
      <c r="I20" s="4"/>
      <c r="W20" s="4"/>
    </row>
    <row r="21" spans="1:23" x14ac:dyDescent="0.35">
      <c r="A21" s="4"/>
      <c r="B21" s="4"/>
      <c r="C21" s="4"/>
      <c r="D21" s="4"/>
      <c r="E21" s="4"/>
      <c r="F21" s="4"/>
      <c r="G21" s="4"/>
      <c r="H21" s="4"/>
      <c r="I21" s="4"/>
      <c r="W21" s="4"/>
    </row>
    <row r="22" spans="1:23" x14ac:dyDescent="0.35">
      <c r="A22" s="4"/>
      <c r="B22" s="4"/>
      <c r="C22" s="4"/>
      <c r="D22" s="4"/>
      <c r="E22" s="4"/>
      <c r="F22" s="4"/>
      <c r="G22" s="4"/>
      <c r="H22" s="4"/>
      <c r="I22" s="4"/>
      <c r="J22" s="4"/>
      <c r="K22" s="4"/>
      <c r="L22" s="4"/>
      <c r="M22" s="4"/>
      <c r="N22" s="4"/>
      <c r="O22" s="4"/>
      <c r="P22" s="4"/>
      <c r="Q22" s="4"/>
      <c r="R22" s="4"/>
      <c r="S22" s="4"/>
      <c r="T22" s="4"/>
      <c r="U22" s="4"/>
      <c r="V22" s="4"/>
      <c r="W22" s="4"/>
    </row>
    <row r="23" spans="1:23" x14ac:dyDescent="0.35">
      <c r="A23" s="4"/>
      <c r="B23" s="4"/>
      <c r="C23" s="4"/>
      <c r="D23" s="4"/>
      <c r="E23" s="4"/>
      <c r="F23" s="4"/>
      <c r="G23" s="4"/>
      <c r="H23" s="4"/>
      <c r="I23" s="4"/>
      <c r="J23" s="4"/>
      <c r="K23" s="4"/>
      <c r="L23" s="4"/>
      <c r="M23" s="4"/>
      <c r="N23" s="4"/>
      <c r="O23" s="4"/>
      <c r="P23" s="4"/>
      <c r="Q23" s="4"/>
      <c r="R23" s="4"/>
      <c r="S23" s="4"/>
      <c r="T23" s="4"/>
      <c r="U23" s="4"/>
      <c r="V23" s="4"/>
      <c r="W23" s="4"/>
    </row>
  </sheetData>
  <sheetProtection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5D02A-83FE-43A6-AA76-A6F9717A4E74}">
  <sheetPr codeName="Sheet7"/>
  <dimension ref="A1:AE101"/>
  <sheetViews>
    <sheetView tabSelected="1" zoomScale="70" zoomScaleNormal="70" workbookViewId="0">
      <selection activeCell="R12" sqref="R12"/>
    </sheetView>
  </sheetViews>
  <sheetFormatPr defaultRowHeight="14.5" x14ac:dyDescent="0.35"/>
  <cols>
    <col min="1" max="1" width="16.54296875" bestFit="1" customWidth="1"/>
    <col min="2" max="2" width="13.1796875" bestFit="1" customWidth="1"/>
    <col min="3" max="3" width="12" bestFit="1" customWidth="1"/>
    <col min="4" max="4" width="18" bestFit="1" customWidth="1"/>
    <col min="5" max="5" width="14.54296875" bestFit="1" customWidth="1"/>
    <col min="6" max="8" width="12" bestFit="1" customWidth="1"/>
    <col min="9" max="9" width="16.7265625" bestFit="1" customWidth="1"/>
    <col min="10" max="10" width="25.6328125" bestFit="1" customWidth="1"/>
    <col min="11" max="11" width="27.08984375" bestFit="1" customWidth="1"/>
    <col min="12" max="12" width="19.54296875" bestFit="1" customWidth="1"/>
    <col min="13" max="13" width="16.1796875" customWidth="1"/>
    <col min="14" max="14" width="14" bestFit="1" customWidth="1"/>
    <col min="15" max="15" width="21.54296875" bestFit="1" customWidth="1"/>
    <col min="16" max="17" width="17.81640625" customWidth="1"/>
    <col min="18" max="18" width="14" bestFit="1" customWidth="1"/>
    <col min="19" max="21" width="8.81640625" bestFit="1" customWidth="1"/>
    <col min="22" max="22" width="17.54296875" customWidth="1"/>
    <col min="23" max="24" width="13.54296875" bestFit="1" customWidth="1"/>
    <col min="25" max="25" width="12.36328125" bestFit="1" customWidth="1"/>
    <col min="26" max="26" width="15" bestFit="1" customWidth="1"/>
    <col min="27" max="27" width="22.08984375" bestFit="1" customWidth="1"/>
    <col min="28" max="46" width="13.54296875" bestFit="1" customWidth="1"/>
    <col min="47" max="48" width="18.36328125" bestFit="1" customWidth="1"/>
    <col min="49" max="49" width="7.6328125" bestFit="1" customWidth="1"/>
    <col min="50" max="50" width="10.54296875" bestFit="1" customWidth="1"/>
    <col min="51" max="51" width="9.54296875" bestFit="1" customWidth="1"/>
    <col min="52" max="52" width="7.6328125" bestFit="1" customWidth="1"/>
    <col min="53" max="53" width="10.54296875" bestFit="1" customWidth="1"/>
    <col min="54" max="54" width="9.54296875" bestFit="1" customWidth="1"/>
    <col min="55" max="55" width="7.6328125" bestFit="1" customWidth="1"/>
    <col min="56" max="56" width="10.54296875" bestFit="1" customWidth="1"/>
    <col min="57" max="57" width="9.54296875" bestFit="1" customWidth="1"/>
    <col min="58" max="58" width="7.6328125" bestFit="1" customWidth="1"/>
    <col min="59" max="59" width="10.54296875" bestFit="1" customWidth="1"/>
    <col min="60" max="60" width="9.54296875" bestFit="1" customWidth="1"/>
    <col min="61" max="61" width="10.7265625" bestFit="1" customWidth="1"/>
    <col min="62" max="62" width="9.54296875" bestFit="1" customWidth="1"/>
    <col min="63" max="63" width="7.6328125" bestFit="1" customWidth="1"/>
    <col min="64" max="64" width="10.54296875" bestFit="1" customWidth="1"/>
    <col min="65" max="65" width="9.54296875" bestFit="1" customWidth="1"/>
    <col min="66" max="66" width="7.6328125" bestFit="1" customWidth="1"/>
    <col min="67" max="67" width="10.54296875" bestFit="1" customWidth="1"/>
    <col min="68" max="68" width="9.54296875" bestFit="1" customWidth="1"/>
    <col min="69" max="69" width="7.6328125" bestFit="1" customWidth="1"/>
    <col min="70" max="70" width="10.54296875" bestFit="1" customWidth="1"/>
    <col min="71" max="71" width="9.54296875" bestFit="1" customWidth="1"/>
    <col min="72" max="72" width="6.6328125" bestFit="1" customWidth="1"/>
    <col min="73" max="74" width="9.54296875" bestFit="1" customWidth="1"/>
    <col min="75" max="75" width="7.6328125" bestFit="1" customWidth="1"/>
    <col min="76" max="76" width="10.54296875" bestFit="1" customWidth="1"/>
    <col min="77" max="77" width="9.54296875" bestFit="1" customWidth="1"/>
    <col min="78" max="78" width="7.6328125" bestFit="1" customWidth="1"/>
    <col min="79" max="79" width="10.54296875" bestFit="1" customWidth="1"/>
    <col min="80" max="80" width="9.54296875" bestFit="1" customWidth="1"/>
    <col min="81" max="81" width="7.6328125" bestFit="1" customWidth="1"/>
    <col min="82" max="82" width="10.54296875" bestFit="1" customWidth="1"/>
    <col min="83" max="83" width="9.54296875" bestFit="1" customWidth="1"/>
    <col min="84" max="84" width="7.6328125" bestFit="1" customWidth="1"/>
    <col min="85" max="85" width="10.54296875" bestFit="1" customWidth="1"/>
    <col min="86" max="86" width="9.54296875" bestFit="1" customWidth="1"/>
    <col min="87" max="87" width="7.6328125" bestFit="1" customWidth="1"/>
    <col min="88" max="88" width="10.54296875" bestFit="1" customWidth="1"/>
    <col min="89" max="89" width="9.54296875" bestFit="1" customWidth="1"/>
    <col min="90" max="90" width="7.6328125" bestFit="1" customWidth="1"/>
    <col min="91" max="91" width="10.54296875" bestFit="1" customWidth="1"/>
    <col min="92" max="92" width="9.54296875" bestFit="1" customWidth="1"/>
    <col min="93" max="93" width="7.6328125" bestFit="1" customWidth="1"/>
    <col min="94" max="94" width="10.54296875" bestFit="1" customWidth="1"/>
    <col min="95" max="95" width="9.54296875" bestFit="1" customWidth="1"/>
    <col min="96" max="96" width="7.6328125" bestFit="1" customWidth="1"/>
    <col min="97" max="97" width="10.54296875" bestFit="1" customWidth="1"/>
    <col min="98" max="98" width="9.54296875" bestFit="1" customWidth="1"/>
    <col min="99" max="99" width="7.6328125" bestFit="1" customWidth="1"/>
    <col min="100" max="100" width="10.54296875" bestFit="1" customWidth="1"/>
    <col min="101" max="101" width="9.54296875" bestFit="1" customWidth="1"/>
    <col min="102" max="102" width="7.6328125" bestFit="1" customWidth="1"/>
    <col min="103" max="103" width="10.54296875" bestFit="1" customWidth="1"/>
    <col min="104" max="104" width="9.54296875" bestFit="1" customWidth="1"/>
    <col min="105" max="105" width="6.6328125" bestFit="1" customWidth="1"/>
    <col min="106" max="107" width="9.54296875" bestFit="1" customWidth="1"/>
    <col min="108" max="108" width="7.6328125" bestFit="1" customWidth="1"/>
    <col min="109" max="109" width="10.54296875" bestFit="1" customWidth="1"/>
    <col min="110" max="110" width="9.54296875" bestFit="1" customWidth="1"/>
    <col min="111" max="111" width="7.6328125" bestFit="1" customWidth="1"/>
    <col min="112" max="112" width="10.54296875" bestFit="1" customWidth="1"/>
    <col min="113" max="113" width="9.54296875" bestFit="1" customWidth="1"/>
    <col min="114" max="114" width="7.6328125" bestFit="1" customWidth="1"/>
    <col min="115" max="115" width="10.54296875" bestFit="1" customWidth="1"/>
    <col min="116" max="116" width="9.54296875" bestFit="1" customWidth="1"/>
    <col min="117" max="117" width="7.6328125" bestFit="1" customWidth="1"/>
    <col min="118" max="118" width="10.54296875" bestFit="1" customWidth="1"/>
    <col min="119" max="119" width="9.54296875" bestFit="1" customWidth="1"/>
    <col min="120" max="120" width="7.6328125" bestFit="1" customWidth="1"/>
    <col min="121" max="121" width="10.54296875" bestFit="1" customWidth="1"/>
    <col min="122" max="122" width="9.54296875" bestFit="1" customWidth="1"/>
    <col min="123" max="123" width="7.6328125" bestFit="1" customWidth="1"/>
    <col min="124" max="124" width="10.54296875" bestFit="1" customWidth="1"/>
    <col min="125" max="125" width="9.54296875" bestFit="1" customWidth="1"/>
    <col min="126" max="126" width="7.6328125" bestFit="1" customWidth="1"/>
    <col min="127" max="127" width="10.54296875" bestFit="1" customWidth="1"/>
    <col min="128" max="128" width="9.54296875" bestFit="1" customWidth="1"/>
    <col min="129" max="129" width="7.6328125" bestFit="1" customWidth="1"/>
    <col min="130" max="130" width="10.54296875" bestFit="1" customWidth="1"/>
    <col min="131" max="131" width="9.54296875" bestFit="1" customWidth="1"/>
    <col min="132" max="132" width="7.6328125" bestFit="1" customWidth="1"/>
    <col min="133" max="133" width="10.54296875" bestFit="1" customWidth="1"/>
    <col min="134" max="134" width="9.54296875" bestFit="1" customWidth="1"/>
    <col min="135" max="135" width="7.6328125" bestFit="1" customWidth="1"/>
    <col min="136" max="136" width="10.54296875" bestFit="1" customWidth="1"/>
    <col min="137" max="137" width="9.54296875" bestFit="1" customWidth="1"/>
    <col min="138" max="138" width="7.6328125" bestFit="1" customWidth="1"/>
    <col min="139" max="139" width="10.54296875" bestFit="1" customWidth="1"/>
    <col min="140" max="140" width="9.54296875" bestFit="1" customWidth="1"/>
    <col min="141" max="141" width="6.6328125" bestFit="1" customWidth="1"/>
    <col min="142" max="143" width="9.54296875" bestFit="1" customWidth="1"/>
    <col min="144" max="144" width="7.6328125" bestFit="1" customWidth="1"/>
    <col min="145" max="145" width="10.54296875" bestFit="1" customWidth="1"/>
    <col min="146" max="146" width="9.54296875" bestFit="1" customWidth="1"/>
    <col min="147" max="147" width="7.6328125" bestFit="1" customWidth="1"/>
    <col min="148" max="148" width="10.54296875" bestFit="1" customWidth="1"/>
    <col min="149" max="149" width="9.54296875" bestFit="1" customWidth="1"/>
    <col min="150" max="150" width="7.6328125" bestFit="1" customWidth="1"/>
    <col min="151" max="151" width="10.54296875" bestFit="1" customWidth="1"/>
    <col min="152" max="152" width="9.54296875" bestFit="1" customWidth="1"/>
    <col min="153" max="153" width="7.6328125" bestFit="1" customWidth="1"/>
    <col min="154" max="154" width="10.54296875" bestFit="1" customWidth="1"/>
    <col min="155" max="155" width="9.54296875" bestFit="1" customWidth="1"/>
    <col min="156" max="156" width="7.6328125" bestFit="1" customWidth="1"/>
    <col min="157" max="157" width="10.54296875" bestFit="1" customWidth="1"/>
    <col min="158" max="158" width="9.54296875" bestFit="1" customWidth="1"/>
    <col min="159" max="159" width="6.6328125" bestFit="1" customWidth="1"/>
    <col min="160" max="161" width="9.54296875" bestFit="1" customWidth="1"/>
    <col min="162" max="162" width="6.6328125" bestFit="1" customWidth="1"/>
    <col min="163" max="164" width="9.54296875" bestFit="1" customWidth="1"/>
    <col min="165" max="165" width="6.6328125" bestFit="1" customWidth="1"/>
    <col min="166" max="167" width="9.54296875" bestFit="1" customWidth="1"/>
    <col min="168" max="168" width="7.6328125" bestFit="1" customWidth="1"/>
    <col min="169" max="169" width="10.54296875" bestFit="1" customWidth="1"/>
    <col min="170" max="170" width="9.54296875" bestFit="1" customWidth="1"/>
    <col min="171" max="171" width="7.6328125" bestFit="1" customWidth="1"/>
    <col min="172" max="172" width="10.54296875" bestFit="1" customWidth="1"/>
    <col min="173" max="173" width="9.54296875" bestFit="1" customWidth="1"/>
    <col min="174" max="174" width="6.6328125" bestFit="1" customWidth="1"/>
    <col min="175" max="176" width="9.54296875" bestFit="1" customWidth="1"/>
    <col min="177" max="177" width="7.6328125" bestFit="1" customWidth="1"/>
    <col min="178" max="178" width="10.54296875" bestFit="1" customWidth="1"/>
    <col min="179" max="179" width="9.54296875" bestFit="1" customWidth="1"/>
    <col min="180" max="180" width="7.6328125" bestFit="1" customWidth="1"/>
    <col min="181" max="181" width="10.54296875" bestFit="1" customWidth="1"/>
    <col min="182" max="182" width="9.54296875" bestFit="1" customWidth="1"/>
    <col min="183" max="183" width="6.6328125" bestFit="1" customWidth="1"/>
    <col min="184" max="185" width="9.54296875" bestFit="1" customWidth="1"/>
    <col min="186" max="186" width="6.6328125" bestFit="1" customWidth="1"/>
    <col min="187" max="188" width="9.54296875" bestFit="1" customWidth="1"/>
    <col min="189" max="189" width="6.6328125" bestFit="1" customWidth="1"/>
    <col min="190" max="190" width="8.54296875" bestFit="1" customWidth="1"/>
    <col min="191" max="191" width="9.54296875" bestFit="1" customWidth="1"/>
    <col min="192" max="192" width="7.6328125" bestFit="1" customWidth="1"/>
    <col min="193" max="193" width="10.54296875" bestFit="1" customWidth="1"/>
    <col min="194" max="194" width="9.54296875" bestFit="1" customWidth="1"/>
    <col min="195" max="195" width="6.6328125" bestFit="1" customWidth="1"/>
    <col min="196" max="197" width="9.54296875" bestFit="1" customWidth="1"/>
    <col min="198" max="198" width="7.6328125" bestFit="1" customWidth="1"/>
    <col min="199" max="199" width="10.54296875" bestFit="1" customWidth="1"/>
    <col min="200" max="200" width="9.54296875" bestFit="1" customWidth="1"/>
    <col min="201" max="201" width="7.6328125" bestFit="1" customWidth="1"/>
    <col min="202" max="202" width="10.54296875" bestFit="1" customWidth="1"/>
    <col min="203" max="203" width="9.54296875" bestFit="1" customWidth="1"/>
    <col min="204" max="204" width="6.6328125" bestFit="1" customWidth="1"/>
    <col min="205" max="206" width="9.54296875" bestFit="1" customWidth="1"/>
    <col min="207" max="207" width="7.6328125" bestFit="1" customWidth="1"/>
    <col min="208" max="208" width="10.54296875" bestFit="1" customWidth="1"/>
    <col min="209" max="209" width="9.54296875" bestFit="1" customWidth="1"/>
    <col min="210" max="210" width="7.6328125" bestFit="1" customWidth="1"/>
    <col min="211" max="211" width="10.54296875" bestFit="1" customWidth="1"/>
    <col min="212" max="212" width="9.54296875" bestFit="1" customWidth="1"/>
    <col min="213" max="213" width="7.6328125" bestFit="1" customWidth="1"/>
    <col min="214" max="214" width="10.54296875" bestFit="1" customWidth="1"/>
    <col min="215" max="215" width="9.54296875" bestFit="1" customWidth="1"/>
    <col min="216" max="216" width="7.6328125" bestFit="1" customWidth="1"/>
    <col min="217" max="217" width="10.54296875" bestFit="1" customWidth="1"/>
    <col min="218" max="218" width="9.54296875" bestFit="1" customWidth="1"/>
    <col min="219" max="219" width="7.6328125" bestFit="1" customWidth="1"/>
    <col min="220" max="220" width="10.54296875" bestFit="1" customWidth="1"/>
    <col min="221" max="221" width="9.54296875" bestFit="1" customWidth="1"/>
    <col min="222" max="222" width="6.6328125" bestFit="1" customWidth="1"/>
    <col min="223" max="224" width="9.54296875" bestFit="1" customWidth="1"/>
    <col min="225" max="225" width="7.6328125" bestFit="1" customWidth="1"/>
    <col min="226" max="226" width="10.54296875" bestFit="1" customWidth="1"/>
    <col min="227" max="227" width="9.54296875" bestFit="1" customWidth="1"/>
    <col min="228" max="228" width="7.6328125" bestFit="1" customWidth="1"/>
    <col min="229" max="229" width="10.54296875" bestFit="1" customWidth="1"/>
    <col min="230" max="230" width="9.54296875" bestFit="1" customWidth="1"/>
    <col min="231" max="231" width="7.6328125" bestFit="1" customWidth="1"/>
    <col min="232" max="232" width="10.54296875" bestFit="1" customWidth="1"/>
    <col min="233" max="233" width="9.54296875" bestFit="1" customWidth="1"/>
    <col min="234" max="234" width="7.6328125" bestFit="1" customWidth="1"/>
    <col min="235" max="235" width="10.54296875" bestFit="1" customWidth="1"/>
    <col min="236" max="236" width="9.54296875" bestFit="1" customWidth="1"/>
    <col min="237" max="237" width="6.6328125" bestFit="1" customWidth="1"/>
    <col min="238" max="239" width="9.54296875" bestFit="1" customWidth="1"/>
    <col min="240" max="240" width="7.6328125" bestFit="1" customWidth="1"/>
    <col min="241" max="241" width="10.54296875" bestFit="1" customWidth="1"/>
    <col min="242" max="242" width="9.54296875" bestFit="1" customWidth="1"/>
    <col min="243" max="243" width="7.6328125" bestFit="1" customWidth="1"/>
    <col min="244" max="244" width="10.54296875" bestFit="1" customWidth="1"/>
    <col min="245" max="245" width="9.54296875" bestFit="1" customWidth="1"/>
    <col min="246" max="246" width="7.6328125" bestFit="1" customWidth="1"/>
    <col min="247" max="247" width="10.54296875" bestFit="1" customWidth="1"/>
    <col min="248" max="248" width="9.54296875" bestFit="1" customWidth="1"/>
    <col min="249" max="249" width="7.6328125" bestFit="1" customWidth="1"/>
    <col min="250" max="250" width="10.54296875" bestFit="1" customWidth="1"/>
    <col min="251" max="251" width="9.54296875" bestFit="1" customWidth="1"/>
    <col min="252" max="252" width="7.6328125" bestFit="1" customWidth="1"/>
    <col min="253" max="253" width="10.54296875" bestFit="1" customWidth="1"/>
    <col min="254" max="254" width="9.54296875" bestFit="1" customWidth="1"/>
    <col min="255" max="255" width="7.6328125" bestFit="1" customWidth="1"/>
    <col min="256" max="256" width="10.54296875" bestFit="1" customWidth="1"/>
    <col min="257" max="257" width="9.54296875" bestFit="1" customWidth="1"/>
    <col min="258" max="258" width="7.6328125" bestFit="1" customWidth="1"/>
    <col min="259" max="259" width="10.54296875" bestFit="1" customWidth="1"/>
    <col min="260" max="260" width="9.54296875" bestFit="1" customWidth="1"/>
    <col min="261" max="261" width="7.6328125" bestFit="1" customWidth="1"/>
    <col min="262" max="262" width="10.54296875" bestFit="1" customWidth="1"/>
    <col min="263" max="263" width="9.54296875" bestFit="1" customWidth="1"/>
    <col min="264" max="264" width="7.6328125" bestFit="1" customWidth="1"/>
    <col min="265" max="265" width="10.54296875" bestFit="1" customWidth="1"/>
    <col min="266" max="266" width="9.54296875" bestFit="1" customWidth="1"/>
    <col min="267" max="267" width="7.6328125" bestFit="1" customWidth="1"/>
    <col min="268" max="268" width="10.54296875" bestFit="1" customWidth="1"/>
    <col min="269" max="269" width="9.54296875" bestFit="1" customWidth="1"/>
    <col min="270" max="270" width="7.6328125" bestFit="1" customWidth="1"/>
    <col min="271" max="271" width="10.54296875" bestFit="1" customWidth="1"/>
    <col min="272" max="272" width="7.6328125" bestFit="1" customWidth="1"/>
    <col min="273" max="273" width="10.54296875" bestFit="1" customWidth="1"/>
    <col min="274" max="274" width="9.54296875" bestFit="1" customWidth="1"/>
    <col min="275" max="275" width="7.6328125" bestFit="1" customWidth="1"/>
    <col min="276" max="276" width="10.54296875" bestFit="1" customWidth="1"/>
    <col min="277" max="277" width="9.54296875" bestFit="1" customWidth="1"/>
    <col min="278" max="278" width="7.6328125" bestFit="1" customWidth="1"/>
    <col min="279" max="279" width="10.54296875" bestFit="1" customWidth="1"/>
    <col min="280" max="280" width="9.54296875" bestFit="1" customWidth="1"/>
    <col min="281" max="281" width="7.6328125" bestFit="1" customWidth="1"/>
    <col min="282" max="282" width="10.54296875" bestFit="1" customWidth="1"/>
    <col min="283" max="283" width="9.54296875" bestFit="1" customWidth="1"/>
    <col min="284" max="284" width="7.6328125" bestFit="1" customWidth="1"/>
    <col min="285" max="285" width="10.54296875" bestFit="1" customWidth="1"/>
    <col min="286" max="286" width="9.54296875" bestFit="1" customWidth="1"/>
    <col min="287" max="287" width="7.6328125" bestFit="1" customWidth="1"/>
    <col min="288" max="288" width="10.54296875" bestFit="1" customWidth="1"/>
    <col min="289" max="289" width="9.54296875" bestFit="1" customWidth="1"/>
    <col min="290" max="290" width="7.6328125" bestFit="1" customWidth="1"/>
    <col min="291" max="291" width="10.54296875" bestFit="1" customWidth="1"/>
    <col min="292" max="292" width="9.54296875" bestFit="1" customWidth="1"/>
    <col min="293" max="293" width="6.6328125" bestFit="1" customWidth="1"/>
    <col min="294" max="295" width="9.54296875" bestFit="1" customWidth="1"/>
    <col min="296" max="296" width="7.6328125" bestFit="1" customWidth="1"/>
    <col min="297" max="297" width="10.54296875" bestFit="1" customWidth="1"/>
    <col min="298" max="298" width="9.54296875" bestFit="1" customWidth="1"/>
    <col min="299" max="299" width="6.6328125" bestFit="1" customWidth="1"/>
    <col min="300" max="301" width="9.54296875" bestFit="1" customWidth="1"/>
    <col min="302" max="302" width="7.6328125" bestFit="1" customWidth="1"/>
    <col min="303" max="303" width="10.54296875" bestFit="1" customWidth="1"/>
    <col min="304" max="304" width="9.54296875" bestFit="1" customWidth="1"/>
    <col min="305" max="305" width="6.6328125" bestFit="1" customWidth="1"/>
    <col min="306" max="307" width="9.54296875" bestFit="1" customWidth="1"/>
    <col min="308" max="308" width="7.6328125" bestFit="1" customWidth="1"/>
    <col min="309" max="309" width="10.54296875" bestFit="1" customWidth="1"/>
    <col min="310" max="310" width="9.54296875" bestFit="1" customWidth="1"/>
    <col min="311" max="311" width="7.6328125" bestFit="1" customWidth="1"/>
    <col min="312" max="312" width="10.54296875" bestFit="1" customWidth="1"/>
    <col min="313" max="313" width="9.54296875" bestFit="1" customWidth="1"/>
    <col min="314" max="314" width="7.6328125" bestFit="1" customWidth="1"/>
    <col min="315" max="315" width="10.54296875" bestFit="1" customWidth="1"/>
    <col min="316" max="316" width="9.54296875" bestFit="1" customWidth="1"/>
    <col min="317" max="317" width="10.7265625" bestFit="1" customWidth="1"/>
  </cols>
  <sheetData>
    <row r="1" spans="1:25" x14ac:dyDescent="0.35">
      <c r="A1" s="6" t="s">
        <v>0</v>
      </c>
      <c r="B1" s="6" t="s">
        <v>164</v>
      </c>
      <c r="C1" s="6" t="s">
        <v>3</v>
      </c>
      <c r="D1" s="6" t="s">
        <v>5</v>
      </c>
      <c r="E1" s="6" t="s">
        <v>147</v>
      </c>
      <c r="F1" s="6" t="s">
        <v>132</v>
      </c>
      <c r="G1" s="6" t="s">
        <v>133</v>
      </c>
      <c r="H1" s="6" t="s">
        <v>134</v>
      </c>
      <c r="I1" s="6" t="s">
        <v>165</v>
      </c>
      <c r="J1" s="6" t="s">
        <v>139</v>
      </c>
      <c r="K1" s="6" t="s">
        <v>144</v>
      </c>
      <c r="L1" s="6" t="s">
        <v>145</v>
      </c>
      <c r="N1" s="15" t="s">
        <v>166</v>
      </c>
      <c r="O1" s="16">
        <f>COUNT(Table3[Company ID])</f>
        <v>100</v>
      </c>
    </row>
    <row r="2" spans="1:25" x14ac:dyDescent="0.35">
      <c r="A2" s="6">
        <f>INDEX(Company_Master!$A$2:$A$101,MATCH(Company_Master!A2,Company_Master!$A$2:$A$101,0))</f>
        <v>1</v>
      </c>
      <c r="B2" s="6" t="str">
        <f>INDEX(Company_Master!$C$2:$C$101,MATCH(Company_Master!C2,Company_Master!$C$2:$C$101,0))</f>
        <v>Healthcare</v>
      </c>
      <c r="C2" s="6" t="str">
        <f>_xlfn.XLOOKUP(A2,A2:A101,Company_Master!D2:D101,0)</f>
        <v>UK</v>
      </c>
      <c r="D2" s="6">
        <f>INDEX(Company_Master!$A$2:$H$101,MATCH(Company_Master!F2,Company_Master!$F$2:$F$101,0),6)</f>
        <v>29503</v>
      </c>
      <c r="E2" s="6">
        <f>_xlfn.XLOOKUP(Governance!E2,Governance!$E$2:$E$101,Governance!$E$2:$E$101,0)</f>
        <v>45</v>
      </c>
      <c r="F2" s="6">
        <f>INDEX(Environmental!$A$2:$I$101,MATCH(Environmental!C2,Environmental!$C$2:$C$101,0),3)</f>
        <v>1508</v>
      </c>
      <c r="G2" s="6">
        <f>INDEX(Environmental!$A$2:$I$101,MATCH(Environmental!D2,Environmental!$D$2:$D$101,0),4)</f>
        <v>1433</v>
      </c>
      <c r="H2" s="6">
        <f>INDEX(Environmental!$A$2:$I$101,MATCH(Environmental!E2,Environmental!$E$2:$E$101,0),5)</f>
        <v>31607</v>
      </c>
      <c r="I2" s="6">
        <f>INDEX(Environmental!$A$2:$I$101,MATCH(Environmental!G2,Environmental!$G$2:$G$101,0),7)</f>
        <v>97</v>
      </c>
      <c r="J2" s="6">
        <f>INDEX(Social!$A$2:$G$101,MATCH(Social!C2,Social!$C$2:$C$101,0),3)</f>
        <v>44</v>
      </c>
      <c r="K2" s="6">
        <f>INDEX(Governance!$A$2:$F$101,MATCH(Governance!B2,Governance!$B$2:$B$101,0),2)</f>
        <v>91</v>
      </c>
      <c r="L2" s="6" t="str">
        <f>INDEX(Governance!A2:C101,1,3)</f>
        <v>Yes</v>
      </c>
      <c r="N2" s="15" t="s">
        <v>167</v>
      </c>
      <c r="O2" s="16">
        <f>AVERAGE(Table3[ESG Score])</f>
        <v>65.33</v>
      </c>
    </row>
    <row r="3" spans="1:25" x14ac:dyDescent="0.35">
      <c r="A3" s="6">
        <f>INDEX(Company_Master!$A$2:$A$101,MATCH(Company_Master!A3,Company_Master!$A$2:$A$101,0))</f>
        <v>2</v>
      </c>
      <c r="B3" s="6" t="str">
        <f>INDEX(Company_Master!$C$2:$C$101,MATCH(Company_Master!C3,Company_Master!$C$2:$C$101,0))</f>
        <v>Finance</v>
      </c>
      <c r="C3" s="6" t="str">
        <f>_xlfn.XLOOKUP(A3,A3:A102,Company_Master!D3:D102,0)</f>
        <v>USA</v>
      </c>
      <c r="D3" s="6">
        <f>INDEX(Company_Master!$A$2:$H$101,MATCH(Company_Master!F3,Company_Master!$F$2:$F$101,0),6)</f>
        <v>9833</v>
      </c>
      <c r="E3" s="6">
        <f>_xlfn.XLOOKUP(Governance!E3,Governance!$E$2:$E$101,Governance!$E$2:$E$101,0)</f>
        <v>82</v>
      </c>
      <c r="F3" s="6">
        <f>INDEX(Environmental!$A$2:$I$101,MATCH(Environmental!C3,Environmental!$C$2:$C$101,0),3)</f>
        <v>4881</v>
      </c>
      <c r="G3" s="6">
        <f>INDEX(Environmental!$A$2:$I$101,MATCH(Environmental!D3,Environmental!$D$2:$D$101,0),4)</f>
        <v>4203</v>
      </c>
      <c r="H3" s="6">
        <f>INDEX(Environmental!$A$2:$I$101,MATCH(Environmental!E3,Environmental!$E$2:$E$101,0),5)</f>
        <v>26832</v>
      </c>
      <c r="I3" s="6">
        <f>INDEX(Environmental!$A$2:$I$101,MATCH(Environmental!G3,Environmental!$G$2:$G$101,0),7)</f>
        <v>74</v>
      </c>
      <c r="J3" s="6">
        <f>INDEX(Social!$A$2:$G$101,MATCH(Social!C3,Social!$C$2:$C$101,0),3)</f>
        <v>16</v>
      </c>
      <c r="K3" s="6">
        <f>INDEX(Governance!$A$2:$F$101,MATCH(Governance!B3,Governance!$B$2:$B$101,0),2)</f>
        <v>55</v>
      </c>
      <c r="L3" s="6" t="str">
        <f>INDEX(Governance!A3:C102,1,3)</f>
        <v>Yes</v>
      </c>
      <c r="N3" s="15" t="s">
        <v>170</v>
      </c>
      <c r="O3" s="17">
        <f>SUMPRODUCT(Table3[Revenue ($M)],Table3[ESG Score])/(SUM(Table3[Revenue ($M)]))</f>
        <v>64.262832492408734</v>
      </c>
    </row>
    <row r="4" spans="1:25" x14ac:dyDescent="0.35">
      <c r="A4" s="6">
        <f>INDEX(Company_Master!$A$2:$A$101,MATCH(Company_Master!A4,Company_Master!$A$2:$A$101,0))</f>
        <v>3</v>
      </c>
      <c r="B4" s="6" t="str">
        <f>INDEX(Company_Master!$C$2:$C$101,MATCH(Company_Master!C4,Company_Master!$C$2:$C$101,0))</f>
        <v>Retail</v>
      </c>
      <c r="C4" s="6" t="str">
        <f>_xlfn.XLOOKUP(A4,A4:A103,Company_Master!D4:D103,0)</f>
        <v>USA</v>
      </c>
      <c r="D4" s="6">
        <f>INDEX(Company_Master!$A$2:$H$101,MATCH(Company_Master!F4,Company_Master!$F$2:$F$101,0),6)</f>
        <v>20673</v>
      </c>
      <c r="E4" s="6">
        <f>_xlfn.XLOOKUP(Governance!E4,Governance!$E$2:$E$101,Governance!$E$2:$E$101,0)</f>
        <v>78</v>
      </c>
      <c r="F4" s="6">
        <f>INDEX(Environmental!$A$2:$I$101,MATCH(Environmental!C4,Environmental!$C$2:$C$101,0),3)</f>
        <v>6247</v>
      </c>
      <c r="G4" s="6">
        <f>INDEX(Environmental!$A$2:$I$101,MATCH(Environmental!D4,Environmental!$D$2:$D$101,0),4)</f>
        <v>1921</v>
      </c>
      <c r="H4" s="6">
        <f>INDEX(Environmental!$A$2:$I$101,MATCH(Environmental!E4,Environmental!$E$2:$E$101,0),5)</f>
        <v>41161</v>
      </c>
      <c r="I4" s="6">
        <f>INDEX(Environmental!$A$2:$I$101,MATCH(Environmental!G4,Environmental!$G$2:$G$101,0),7)</f>
        <v>16</v>
      </c>
      <c r="J4" s="6">
        <f>INDEX(Social!$A$2:$G$101,MATCH(Social!C4,Social!$C$2:$C$101,0),3)</f>
        <v>57</v>
      </c>
      <c r="K4" s="6">
        <f>INDEX(Governance!$A$2:$F$101,MATCH(Governance!B4,Governance!$B$2:$B$101,0),2)</f>
        <v>41</v>
      </c>
      <c r="L4" s="6" t="str">
        <f>INDEX(Governance!A4:C103,1,3)</f>
        <v>Yes</v>
      </c>
      <c r="N4" s="15" t="s">
        <v>168</v>
      </c>
      <c r="O4" s="17">
        <f>(((COUNTIF(Table3[ESG Committee],"Yes"))/(101))*100)</f>
        <v>59.405940594059402</v>
      </c>
    </row>
    <row r="5" spans="1:25" x14ac:dyDescent="0.35">
      <c r="A5" s="6">
        <f>INDEX(Company_Master!$A$2:$A$101,MATCH(Company_Master!A5,Company_Master!$A$2:$A$101,0))</f>
        <v>4</v>
      </c>
      <c r="B5" s="6" t="str">
        <f>INDEX(Company_Master!$C$2:$C$101,MATCH(Company_Master!C5,Company_Master!$C$2:$C$101,0))</f>
        <v>Healthcare</v>
      </c>
      <c r="C5" s="6" t="str">
        <f>_xlfn.XLOOKUP(A5,A5:A104,Company_Master!D5:D104,0)</f>
        <v>Japan</v>
      </c>
      <c r="D5" s="6">
        <f>INDEX(Company_Master!$A$2:$H$101,MATCH(Company_Master!F5,Company_Master!$F$2:$F$101,0),6)</f>
        <v>17659</v>
      </c>
      <c r="E5" s="6">
        <f>_xlfn.XLOOKUP(Governance!E5,Governance!$E$2:$E$101,Governance!$E$2:$E$101,0)</f>
        <v>54</v>
      </c>
      <c r="F5" s="6">
        <f>INDEX(Environmental!$A$2:$I$101,MATCH(Environmental!C5,Environmental!$C$2:$C$101,0),3)</f>
        <v>732</v>
      </c>
      <c r="G5" s="6">
        <f>INDEX(Environmental!$A$2:$I$101,MATCH(Environmental!D5,Environmental!$D$2:$D$101,0),4)</f>
        <v>3391</v>
      </c>
      <c r="H5" s="6">
        <f>INDEX(Environmental!$A$2:$I$101,MATCH(Environmental!E5,Environmental!$E$2:$E$101,0),5)</f>
        <v>25133</v>
      </c>
      <c r="I5" s="6">
        <f>INDEX(Environmental!$A$2:$I$101,MATCH(Environmental!G5,Environmental!$G$2:$G$101,0),7)</f>
        <v>81</v>
      </c>
      <c r="J5" s="6">
        <f>INDEX(Social!$A$2:$G$101,MATCH(Social!C5,Social!$C$2:$C$101,0),3)</f>
        <v>43</v>
      </c>
      <c r="K5" s="6">
        <f>INDEX(Governance!$A$2:$F$101,MATCH(Governance!B5,Governance!$B$2:$B$101,0),2)</f>
        <v>90</v>
      </c>
      <c r="L5" s="6" t="str">
        <f>INDEX(Governance!A5:C104,1,3)</f>
        <v>Yes</v>
      </c>
      <c r="N5" s="15" t="s">
        <v>169</v>
      </c>
      <c r="O5" s="16">
        <f>SUM(Table3[[Scope 1]:[Scope 3]])</f>
        <v>3370620</v>
      </c>
    </row>
    <row r="6" spans="1:25" x14ac:dyDescent="0.35">
      <c r="A6" s="6">
        <f>INDEX(Company_Master!$A$2:$A$101,MATCH(Company_Master!A6,Company_Master!$A$2:$A$101,0))</f>
        <v>5</v>
      </c>
      <c r="B6" s="6" t="str">
        <f>INDEX(Company_Master!$C$2:$C$101,MATCH(Company_Master!C6,Company_Master!$C$2:$C$101,0))</f>
        <v>Manufacturing</v>
      </c>
      <c r="C6" s="6" t="str">
        <f>_xlfn.XLOOKUP(A6,A6:A105,Company_Master!D6:D105,0)</f>
        <v>Australia</v>
      </c>
      <c r="D6" s="6">
        <f>INDEX(Company_Master!$A$2:$H$101,MATCH(Company_Master!F6,Company_Master!$F$2:$F$101,0),6)</f>
        <v>22374</v>
      </c>
      <c r="E6" s="6">
        <f>_xlfn.XLOOKUP(Governance!E6,Governance!$E$2:$E$101,Governance!$E$2:$E$101,0)</f>
        <v>62</v>
      </c>
      <c r="F6" s="6">
        <f>INDEX(Environmental!$A$2:$I$101,MATCH(Environmental!C6,Environmental!$C$2:$C$101,0),3)</f>
        <v>2683</v>
      </c>
      <c r="G6" s="6">
        <f>INDEX(Environmental!$A$2:$I$101,MATCH(Environmental!D6,Environmental!$D$2:$D$101,0),4)</f>
        <v>1906</v>
      </c>
      <c r="H6" s="6">
        <f>INDEX(Environmental!$A$2:$I$101,MATCH(Environmental!E6,Environmental!$E$2:$E$101,0),5)</f>
        <v>47599</v>
      </c>
      <c r="I6" s="6">
        <f>INDEX(Environmental!$A$2:$I$101,MATCH(Environmental!G6,Environmental!$G$2:$G$101,0),7)</f>
        <v>95</v>
      </c>
      <c r="J6" s="6">
        <f>INDEX(Social!$A$2:$G$101,MATCH(Social!C6,Social!$C$2:$C$101,0),3)</f>
        <v>14</v>
      </c>
      <c r="K6" s="6">
        <f>INDEX(Governance!$A$2:$F$101,MATCH(Governance!B6,Governance!$B$2:$B$101,0),2)</f>
        <v>94</v>
      </c>
      <c r="L6" s="6" t="str">
        <f>INDEX(Governance!A6:C105,1,3)</f>
        <v>Yes</v>
      </c>
    </row>
    <row r="7" spans="1:25" x14ac:dyDescent="0.35">
      <c r="A7" s="6">
        <f>INDEX(Company_Master!$A$2:$A$101,MATCH(Company_Master!A7,Company_Master!$A$2:$A$101,0))</f>
        <v>6</v>
      </c>
      <c r="B7" s="6" t="str">
        <f>INDEX(Company_Master!$C$2:$C$101,MATCH(Company_Master!C7,Company_Master!$C$2:$C$101,0))</f>
        <v>Retail</v>
      </c>
      <c r="C7" s="6" t="str">
        <f>_xlfn.XLOOKUP(A7,A7:A106,Company_Master!D7:D106,0)</f>
        <v>Canada</v>
      </c>
      <c r="D7" s="6">
        <f>INDEX(Company_Master!$A$2:$H$101,MATCH(Company_Master!F7,Company_Master!$F$2:$F$101,0),6)</f>
        <v>1098</v>
      </c>
      <c r="E7" s="6">
        <f>_xlfn.XLOOKUP(Governance!E7,Governance!$E$2:$E$101,Governance!$E$2:$E$101,0)</f>
        <v>94</v>
      </c>
      <c r="F7" s="6">
        <f>INDEX(Environmental!$A$2:$I$101,MATCH(Environmental!C7,Environmental!$C$2:$C$101,0),3)</f>
        <v>921</v>
      </c>
      <c r="G7" s="6">
        <f>INDEX(Environmental!$A$2:$I$101,MATCH(Environmental!D7,Environmental!$D$2:$D$101,0),4)</f>
        <v>4563</v>
      </c>
      <c r="H7" s="6">
        <f>INDEX(Environmental!$A$2:$I$101,MATCH(Environmental!E7,Environmental!$E$2:$E$101,0),5)</f>
        <v>21598</v>
      </c>
      <c r="I7" s="6">
        <f>INDEX(Environmental!$A$2:$I$101,MATCH(Environmental!G7,Environmental!$G$2:$G$101,0),7)</f>
        <v>89</v>
      </c>
      <c r="J7" s="6">
        <f>INDEX(Social!$A$2:$G$101,MATCH(Social!C7,Social!$C$2:$C$101,0),3)</f>
        <v>17</v>
      </c>
      <c r="K7" s="6">
        <f>INDEX(Governance!$A$2:$F$101,MATCH(Governance!B7,Governance!$B$2:$B$101,0),2)</f>
        <v>45</v>
      </c>
      <c r="L7" s="6" t="str">
        <f>INDEX(Governance!A7:C106,1,3)</f>
        <v>No</v>
      </c>
    </row>
    <row r="8" spans="1:25" x14ac:dyDescent="0.35">
      <c r="A8" s="6">
        <f>INDEX(Company_Master!$A$2:$A$101,MATCH(Company_Master!A8,Company_Master!$A$2:$A$101,0))</f>
        <v>7</v>
      </c>
      <c r="B8" s="6" t="str">
        <f>INDEX(Company_Master!$C$2:$C$101,MATCH(Company_Master!C8,Company_Master!$C$2:$C$101,0))</f>
        <v>Retail</v>
      </c>
      <c r="C8" s="6" t="str">
        <f>_xlfn.XLOOKUP(A8,A8:A107,Company_Master!D8:D107,0)</f>
        <v>Canada</v>
      </c>
      <c r="D8" s="6">
        <f>INDEX(Company_Master!$A$2:$H$101,MATCH(Company_Master!F8,Company_Master!$F$2:$F$101,0),6)</f>
        <v>27989</v>
      </c>
      <c r="E8" s="6">
        <f>_xlfn.XLOOKUP(Governance!E8,Governance!$E$2:$E$101,Governance!$E$2:$E$101,0)</f>
        <v>41</v>
      </c>
      <c r="F8" s="6">
        <f>INDEX(Environmental!$A$2:$I$101,MATCH(Environmental!C8,Environmental!$C$2:$C$101,0),3)</f>
        <v>3119</v>
      </c>
      <c r="G8" s="6">
        <f>INDEX(Environmental!$A$2:$I$101,MATCH(Environmental!D8,Environmental!$D$2:$D$101,0),4)</f>
        <v>3046</v>
      </c>
      <c r="H8" s="6">
        <f>INDEX(Environmental!$A$2:$I$101,MATCH(Environmental!E8,Environmental!$E$2:$E$101,0),5)</f>
        <v>48173</v>
      </c>
      <c r="I8" s="6">
        <f>INDEX(Environmental!$A$2:$I$101,MATCH(Environmental!G8,Environmental!$G$2:$G$101,0),7)</f>
        <v>47</v>
      </c>
      <c r="J8" s="6">
        <f>INDEX(Social!$A$2:$G$101,MATCH(Social!C8,Social!$C$2:$C$101,0),3)</f>
        <v>27</v>
      </c>
      <c r="K8" s="6">
        <f>INDEX(Governance!$A$2:$F$101,MATCH(Governance!B8,Governance!$B$2:$B$101,0),2)</f>
        <v>52</v>
      </c>
      <c r="L8" s="6" t="str">
        <f>INDEX(Governance!A8:C107,1,3)</f>
        <v>Yes</v>
      </c>
      <c r="N8" s="9" t="s">
        <v>0</v>
      </c>
      <c r="O8" s="13">
        <v>5</v>
      </c>
    </row>
    <row r="9" spans="1:25" x14ac:dyDescent="0.35">
      <c r="A9" s="6">
        <f>INDEX(Company_Master!$A$2:$A$101,MATCH(Company_Master!A9,Company_Master!$A$2:$A$101,0))</f>
        <v>8</v>
      </c>
      <c r="B9" s="6" t="str">
        <f>INDEX(Company_Master!$C$2:$C$101,MATCH(Company_Master!C9,Company_Master!$C$2:$C$101,0))</f>
        <v>Finance</v>
      </c>
      <c r="C9" s="6" t="str">
        <f>_xlfn.XLOOKUP(A9,A9:A108,Company_Master!D9:D108,0)</f>
        <v>Canada</v>
      </c>
      <c r="D9" s="6">
        <f>INDEX(Company_Master!$A$2:$H$101,MATCH(Company_Master!F9,Company_Master!$F$2:$F$101,0),6)</f>
        <v>18603</v>
      </c>
      <c r="E9" s="6">
        <f>_xlfn.XLOOKUP(Governance!E9,Governance!$E$2:$E$101,Governance!$E$2:$E$101,0)</f>
        <v>35</v>
      </c>
      <c r="F9" s="6">
        <f>INDEX(Environmental!$A$2:$I$101,MATCH(Environmental!C9,Environmental!$C$2:$C$101,0),3)</f>
        <v>5000</v>
      </c>
      <c r="G9" s="6">
        <f>INDEX(Environmental!$A$2:$I$101,MATCH(Environmental!D9,Environmental!$D$2:$D$101,0),4)</f>
        <v>4539</v>
      </c>
      <c r="H9" s="6">
        <f>INDEX(Environmental!$A$2:$I$101,MATCH(Environmental!E9,Environmental!$E$2:$E$101,0),5)</f>
        <v>41339</v>
      </c>
      <c r="I9" s="6">
        <f>INDEX(Environmental!$A$2:$I$101,MATCH(Environmental!G9,Environmental!$G$2:$G$101,0),7)</f>
        <v>75</v>
      </c>
      <c r="J9" s="6">
        <f>INDEX(Social!$A$2:$G$101,MATCH(Social!C9,Social!$C$2:$C$101,0),3)</f>
        <v>26</v>
      </c>
      <c r="K9" s="6">
        <f>INDEX(Governance!$A$2:$F$101,MATCH(Governance!B9,Governance!$B$2:$B$101,0),2)</f>
        <v>45</v>
      </c>
      <c r="L9" s="6" t="str">
        <f>INDEX(Governance!A9:C108,1,3)</f>
        <v>No</v>
      </c>
      <c r="N9" s="11" t="s">
        <v>164</v>
      </c>
      <c r="O9" s="12" t="str" cm="1">
        <f t="array" ref="O9">_xlfn.XLOOKUP(O8,$A$2:$A$101,Table3[[Industry ]],"Not Found",0)</f>
        <v>Manufacturing</v>
      </c>
      <c r="P9" s="6"/>
      <c r="Q9" s="6"/>
      <c r="R9" s="6"/>
      <c r="S9" s="6"/>
      <c r="T9" s="6"/>
      <c r="U9" s="6"/>
      <c r="V9" s="6"/>
      <c r="W9" s="6"/>
      <c r="X9" s="6"/>
      <c r="Y9" s="6"/>
    </row>
    <row r="10" spans="1:25" x14ac:dyDescent="0.35">
      <c r="A10" s="6">
        <f>INDEX(Company_Master!$A$2:$A$101,MATCH(Company_Master!A10,Company_Master!$A$2:$A$101,0))</f>
        <v>9</v>
      </c>
      <c r="B10" s="6" t="str">
        <f>INDEX(Company_Master!$C$2:$C$101,MATCH(Company_Master!C10,Company_Master!$C$2:$C$101,0))</f>
        <v>Energy</v>
      </c>
      <c r="C10" s="6" t="str">
        <f>_xlfn.XLOOKUP(A10,A10:A109,Company_Master!D10:D109,0)</f>
        <v>Australia</v>
      </c>
      <c r="D10" s="6">
        <f>INDEX(Company_Master!$A$2:$H$101,MATCH(Company_Master!F10,Company_Master!$F$2:$F$101,0),6)</f>
        <v>9777</v>
      </c>
      <c r="E10" s="6">
        <f>_xlfn.XLOOKUP(Governance!E10,Governance!$E$2:$E$101,Governance!$E$2:$E$101,0)</f>
        <v>83</v>
      </c>
      <c r="F10" s="6">
        <f>INDEX(Environmental!$A$2:$I$101,MATCH(Environmental!C10,Environmental!$C$2:$C$101,0),3)</f>
        <v>3153</v>
      </c>
      <c r="G10" s="6">
        <f>INDEX(Environmental!$A$2:$I$101,MATCH(Environmental!D10,Environmental!$D$2:$D$101,0),4)</f>
        <v>3527</v>
      </c>
      <c r="H10" s="6">
        <f>INDEX(Environmental!$A$2:$I$101,MATCH(Environmental!E10,Environmental!$E$2:$E$101,0),5)</f>
        <v>19370</v>
      </c>
      <c r="I10" s="6">
        <f>INDEX(Environmental!$A$2:$I$101,MATCH(Environmental!G10,Environmental!$G$2:$G$101,0),7)</f>
        <v>44</v>
      </c>
      <c r="J10" s="6">
        <f>INDEX(Social!$A$2:$G$101,MATCH(Social!C10,Social!$C$2:$C$101,0),3)</f>
        <v>56</v>
      </c>
      <c r="K10" s="6">
        <f>INDEX(Governance!$A$2:$F$101,MATCH(Governance!B10,Governance!$B$2:$B$101,0),2)</f>
        <v>60</v>
      </c>
      <c r="L10" s="6" t="str">
        <f>INDEX(Governance!A10:C109,1,3)</f>
        <v>No</v>
      </c>
      <c r="N10" s="11" t="s">
        <v>3</v>
      </c>
      <c r="O10" s="12" t="str" cm="1">
        <f t="array" ref="O10">_xlfn.XLOOKUP($O$8,$A$2:$A$101,Table3[Country],"Not Found",0)</f>
        <v>Australia</v>
      </c>
      <c r="P10" s="6"/>
      <c r="Q10" s="6"/>
      <c r="R10" s="6"/>
      <c r="S10" s="6"/>
      <c r="T10" s="6"/>
      <c r="U10" s="6"/>
      <c r="V10" s="6"/>
      <c r="W10" s="6"/>
      <c r="X10" s="6"/>
      <c r="Y10" s="6"/>
    </row>
    <row r="11" spans="1:25" x14ac:dyDescent="0.35">
      <c r="A11" s="6">
        <f>INDEX(Company_Master!$A$2:$A$101,MATCH(Company_Master!A11,Company_Master!$A$2:$A$101,0))</f>
        <v>10</v>
      </c>
      <c r="B11" s="6" t="str">
        <f>INDEX(Company_Master!$C$2:$C$101,MATCH(Company_Master!C11,Company_Master!$C$2:$C$101,0))</f>
        <v>Technology</v>
      </c>
      <c r="C11" s="6" t="str">
        <f>_xlfn.XLOOKUP(A11,A11:A110,Company_Master!D11:D110,0)</f>
        <v>Australia</v>
      </c>
      <c r="D11" s="6">
        <f>INDEX(Company_Master!$A$2:$H$101,MATCH(Company_Master!F11,Company_Master!$F$2:$F$101,0),6)</f>
        <v>15378</v>
      </c>
      <c r="E11" s="6">
        <f>_xlfn.XLOOKUP(Governance!E11,Governance!$E$2:$E$101,Governance!$E$2:$E$101,0)</f>
        <v>78</v>
      </c>
      <c r="F11" s="6">
        <f>INDEX(Environmental!$A$2:$I$101,MATCH(Environmental!C11,Environmental!$C$2:$C$101,0),3)</f>
        <v>3992</v>
      </c>
      <c r="G11" s="6">
        <f>INDEX(Environmental!$A$2:$I$101,MATCH(Environmental!D11,Environmental!$D$2:$D$101,0),4)</f>
        <v>3500</v>
      </c>
      <c r="H11" s="6">
        <f>INDEX(Environmental!$A$2:$I$101,MATCH(Environmental!E11,Environmental!$E$2:$E$101,0),5)</f>
        <v>48649</v>
      </c>
      <c r="I11" s="6">
        <f>INDEX(Environmental!$A$2:$I$101,MATCH(Environmental!G11,Environmental!$G$2:$G$101,0),7)</f>
        <v>37</v>
      </c>
      <c r="J11" s="6">
        <f>INDEX(Social!$A$2:$G$101,MATCH(Social!C11,Social!$C$2:$C$101,0),3)</f>
        <v>14</v>
      </c>
      <c r="K11" s="6">
        <f>INDEX(Governance!$A$2:$F$101,MATCH(Governance!B11,Governance!$B$2:$B$101,0),2)</f>
        <v>92</v>
      </c>
      <c r="L11" s="6" t="str">
        <f>INDEX(Governance!A11:C110,1,3)</f>
        <v>Yes</v>
      </c>
      <c r="N11" s="11" t="s">
        <v>5</v>
      </c>
      <c r="O11" s="12" cm="1">
        <f t="array" ref="O11">_xlfn.XLOOKUP($O$8,$A$2:$A$101,Table3[Revenue ($M)],"Not Found",0)</f>
        <v>22374</v>
      </c>
      <c r="P11" s="6"/>
      <c r="Q11" s="6"/>
      <c r="R11" s="6"/>
      <c r="S11" s="6"/>
      <c r="T11" s="6"/>
      <c r="U11" s="6"/>
      <c r="V11" s="6"/>
      <c r="W11" s="6"/>
      <c r="X11" s="6"/>
      <c r="Y11" s="6"/>
    </row>
    <row r="12" spans="1:25" x14ac:dyDescent="0.35">
      <c r="A12" s="6">
        <f>INDEX(Company_Master!$A$2:$A$101,MATCH(Company_Master!A12,Company_Master!$A$2:$A$101,0))</f>
        <v>11</v>
      </c>
      <c r="B12" s="6" t="str">
        <f>INDEX(Company_Master!$C$2:$C$101,MATCH(Company_Master!C12,Company_Master!$C$2:$C$101,0))</f>
        <v>Finance</v>
      </c>
      <c r="C12" s="6" t="str">
        <f>_xlfn.XLOOKUP(A12,A12:A111,Company_Master!D12:D111,0)</f>
        <v>USA</v>
      </c>
      <c r="D12" s="6">
        <f>INDEX(Company_Master!$A$2:$H$101,MATCH(Company_Master!F12,Company_Master!$F$2:$F$101,0),6)</f>
        <v>1454</v>
      </c>
      <c r="E12" s="6">
        <f>_xlfn.XLOOKUP(Governance!E12,Governance!$E$2:$E$101,Governance!$E$2:$E$101,0)</f>
        <v>62</v>
      </c>
      <c r="F12" s="6">
        <f>INDEX(Environmental!$A$2:$I$101,MATCH(Environmental!C12,Environmental!$C$2:$C$101,0),3)</f>
        <v>1631</v>
      </c>
      <c r="G12" s="6">
        <f>INDEX(Environmental!$A$2:$I$101,MATCH(Environmental!D12,Environmental!$D$2:$D$101,0),4)</f>
        <v>4680</v>
      </c>
      <c r="H12" s="6">
        <f>INDEX(Environmental!$A$2:$I$101,MATCH(Environmental!E12,Environmental!$E$2:$E$101,0),5)</f>
        <v>21694</v>
      </c>
      <c r="I12" s="6">
        <f>INDEX(Environmental!$A$2:$I$101,MATCH(Environmental!G12,Environmental!$G$2:$G$101,0),7)</f>
        <v>84</v>
      </c>
      <c r="J12" s="6">
        <f>INDEX(Social!$A$2:$G$101,MATCH(Social!C12,Social!$C$2:$C$101,0),3)</f>
        <v>53</v>
      </c>
      <c r="K12" s="6">
        <f>INDEX(Governance!$A$2:$F$101,MATCH(Governance!B12,Governance!$B$2:$B$101,0),2)</f>
        <v>86</v>
      </c>
      <c r="L12" s="6" t="str">
        <f>INDEX(Governance!A12:C111,1,3)</f>
        <v>Yes</v>
      </c>
      <c r="N12" s="11" t="s">
        <v>147</v>
      </c>
      <c r="O12" s="12" cm="1">
        <f t="array" ref="O12">_xlfn.XLOOKUP($O$8,$A$2:$A$101,Table3[ESG Score],"Not Found",0)</f>
        <v>62</v>
      </c>
    </row>
    <row r="13" spans="1:25" x14ac:dyDescent="0.35">
      <c r="A13" s="6">
        <f>INDEX(Company_Master!$A$2:$A$101,MATCH(Company_Master!A13,Company_Master!$A$2:$A$101,0))</f>
        <v>12</v>
      </c>
      <c r="B13" s="6" t="str">
        <f>INDEX(Company_Master!$C$2:$C$101,MATCH(Company_Master!C13,Company_Master!$C$2:$C$101,0))</f>
        <v>Technology</v>
      </c>
      <c r="C13" s="6" t="str">
        <f>_xlfn.XLOOKUP(A13,A13:A112,Company_Master!D13:D112,0)</f>
        <v>Germany</v>
      </c>
      <c r="D13" s="6">
        <f>INDEX(Company_Master!$A$2:$H$101,MATCH(Company_Master!F13,Company_Master!$F$2:$F$101,0),6)</f>
        <v>28347</v>
      </c>
      <c r="E13" s="6">
        <f>_xlfn.XLOOKUP(Governance!E13,Governance!$E$2:$E$101,Governance!$E$2:$E$101,0)</f>
        <v>71</v>
      </c>
      <c r="F13" s="6">
        <f>INDEX(Environmental!$A$2:$I$101,MATCH(Environmental!C13,Environmental!$C$2:$C$101,0),3)</f>
        <v>5881</v>
      </c>
      <c r="G13" s="6">
        <f>INDEX(Environmental!$A$2:$I$101,MATCH(Environmental!D13,Environmental!$D$2:$D$101,0),4)</f>
        <v>1706</v>
      </c>
      <c r="H13" s="6">
        <f>INDEX(Environmental!$A$2:$I$101,MATCH(Environmental!E13,Environmental!$E$2:$E$101,0),5)</f>
        <v>31137</v>
      </c>
      <c r="I13" s="6">
        <f>INDEX(Environmental!$A$2:$I$101,MATCH(Environmental!G13,Environmental!$G$2:$G$101,0),7)</f>
        <v>84</v>
      </c>
      <c r="J13" s="6">
        <f>INDEX(Social!$A$2:$G$101,MATCH(Social!C13,Social!$C$2:$C$101,0),3)</f>
        <v>26</v>
      </c>
      <c r="K13" s="6">
        <f>INDEX(Governance!$A$2:$F$101,MATCH(Governance!B13,Governance!$B$2:$B$101,0),2)</f>
        <v>61</v>
      </c>
      <c r="L13" s="6" t="str">
        <f>INDEX(Governance!A13:C112,1,3)</f>
        <v>No</v>
      </c>
      <c r="N13" s="11" t="s">
        <v>132</v>
      </c>
      <c r="O13" s="12" cm="1">
        <f t="array" ref="O13">_xlfn.XLOOKUP(O12,$A$2:$A$101,Table3[Scope 1],"Not Found",0)</f>
        <v>7781</v>
      </c>
    </row>
    <row r="14" spans="1:25" x14ac:dyDescent="0.35">
      <c r="A14" s="6">
        <f>INDEX(Company_Master!$A$2:$A$101,MATCH(Company_Master!A14,Company_Master!$A$2:$A$101,0))</f>
        <v>13</v>
      </c>
      <c r="B14" s="6" t="str">
        <f>INDEX(Company_Master!$C$2:$C$101,MATCH(Company_Master!C14,Company_Master!$C$2:$C$101,0))</f>
        <v>Healthcare</v>
      </c>
      <c r="C14" s="6" t="str">
        <f>_xlfn.XLOOKUP(A14,A14:A113,Company_Master!D14:D113,0)</f>
        <v>UK</v>
      </c>
      <c r="D14" s="6">
        <f>INDEX(Company_Master!$A$2:$H$101,MATCH(Company_Master!F14,Company_Master!$F$2:$F$101,0),6)</f>
        <v>17426</v>
      </c>
      <c r="E14" s="6">
        <f>_xlfn.XLOOKUP(Governance!E14,Governance!$E$2:$E$101,Governance!$E$2:$E$101,0)</f>
        <v>68</v>
      </c>
      <c r="F14" s="6">
        <f>INDEX(Environmental!$A$2:$I$101,MATCH(Environmental!C14,Environmental!$C$2:$C$101,0),3)</f>
        <v>5514</v>
      </c>
      <c r="G14" s="6">
        <f>INDEX(Environmental!$A$2:$I$101,MATCH(Environmental!D14,Environmental!$D$2:$D$101,0),4)</f>
        <v>4702</v>
      </c>
      <c r="H14" s="6">
        <f>INDEX(Environmental!$A$2:$I$101,MATCH(Environmental!E14,Environmental!$E$2:$E$101,0),5)</f>
        <v>23550</v>
      </c>
      <c r="I14" s="6">
        <f>INDEX(Environmental!$A$2:$I$101,MATCH(Environmental!G14,Environmental!$G$2:$G$101,0),7)</f>
        <v>64</v>
      </c>
      <c r="J14" s="6">
        <f>INDEX(Social!$A$2:$G$101,MATCH(Social!C14,Social!$C$2:$C$101,0),3)</f>
        <v>17</v>
      </c>
      <c r="K14" s="6">
        <f>INDEX(Governance!$A$2:$F$101,MATCH(Governance!B14,Governance!$B$2:$B$101,0),2)</f>
        <v>93</v>
      </c>
      <c r="L14" s="6" t="str">
        <f>INDEX(Governance!A14:C113,1,3)</f>
        <v>No</v>
      </c>
      <c r="N14" s="11" t="s">
        <v>133</v>
      </c>
      <c r="O14" s="12" cm="1">
        <f t="array" ref="O14">_xlfn.XLOOKUP($O$8,$A$2:$A$101,Table3[Scope 2],"Not Found",0)</f>
        <v>1906</v>
      </c>
    </row>
    <row r="15" spans="1:25" x14ac:dyDescent="0.35">
      <c r="A15" s="6">
        <f>INDEX(Company_Master!$A$2:$A$101,MATCH(Company_Master!A15,Company_Master!$A$2:$A$101,0))</f>
        <v>14</v>
      </c>
      <c r="B15" s="6" t="str">
        <f>INDEX(Company_Master!$C$2:$C$101,MATCH(Company_Master!C15,Company_Master!$C$2:$C$101,0))</f>
        <v>Manufacturing</v>
      </c>
      <c r="C15" s="6" t="str">
        <f>_xlfn.XLOOKUP(A15,A15:A114,Company_Master!D15:D114,0)</f>
        <v>Japan</v>
      </c>
      <c r="D15" s="6">
        <f>INDEX(Company_Master!$A$2:$H$101,MATCH(Company_Master!F15,Company_Master!$F$2:$F$101,0),6)</f>
        <v>12007</v>
      </c>
      <c r="E15" s="6">
        <f>_xlfn.XLOOKUP(Governance!E15,Governance!$E$2:$E$101,Governance!$E$2:$E$101,0)</f>
        <v>52</v>
      </c>
      <c r="F15" s="6">
        <f>INDEX(Environmental!$A$2:$I$101,MATCH(Environmental!C15,Environmental!$C$2:$C$101,0),3)</f>
        <v>3907</v>
      </c>
      <c r="G15" s="6">
        <f>INDEX(Environmental!$A$2:$I$101,MATCH(Environmental!D15,Environmental!$D$2:$D$101,0),4)</f>
        <v>1338</v>
      </c>
      <c r="H15" s="6">
        <f>INDEX(Environmental!$A$2:$I$101,MATCH(Environmental!E15,Environmental!$E$2:$E$101,0),5)</f>
        <v>46392</v>
      </c>
      <c r="I15" s="6">
        <f>INDEX(Environmental!$A$2:$I$101,MATCH(Environmental!G15,Environmental!$G$2:$G$101,0),7)</f>
        <v>49</v>
      </c>
      <c r="J15" s="6">
        <f>INDEX(Social!$A$2:$G$101,MATCH(Social!C15,Social!$C$2:$C$101,0),3)</f>
        <v>28</v>
      </c>
      <c r="K15" s="6">
        <f>INDEX(Governance!$A$2:$F$101,MATCH(Governance!B15,Governance!$B$2:$B$101,0),2)</f>
        <v>92</v>
      </c>
      <c r="L15" s="6" t="str">
        <f>INDEX(Governance!A15:C114,1,3)</f>
        <v>Yes</v>
      </c>
      <c r="N15" s="11" t="s">
        <v>134</v>
      </c>
      <c r="O15" s="12" cm="1">
        <f t="array" ref="O15">_xlfn.XLOOKUP($O$8,$A$2:$A$101,Table3[Scope 3],"Not Found",0)</f>
        <v>47599</v>
      </c>
    </row>
    <row r="16" spans="1:25" x14ac:dyDescent="0.35">
      <c r="A16" s="6">
        <f>INDEX(Company_Master!$A$2:$A$101,MATCH(Company_Master!A16,Company_Master!$A$2:$A$101,0))</f>
        <v>15</v>
      </c>
      <c r="B16" s="6" t="str">
        <f>INDEX(Company_Master!$C$2:$C$101,MATCH(Company_Master!C16,Company_Master!$C$2:$C$101,0))</f>
        <v>Finance</v>
      </c>
      <c r="C16" s="6" t="str">
        <f>_xlfn.XLOOKUP(A16,A16:A115,Company_Master!D16:D115,0)</f>
        <v>Germany</v>
      </c>
      <c r="D16" s="6">
        <f>INDEX(Company_Master!$A$2:$H$101,MATCH(Company_Master!F16,Company_Master!$F$2:$F$101,0),6)</f>
        <v>19119</v>
      </c>
      <c r="E16" s="6">
        <f>_xlfn.XLOOKUP(Governance!E16,Governance!$E$2:$E$101,Governance!$E$2:$E$101,0)</f>
        <v>64</v>
      </c>
      <c r="F16" s="6">
        <f>INDEX(Environmental!$A$2:$I$101,MATCH(Environmental!C16,Environmental!$C$2:$C$101,0),3)</f>
        <v>4325</v>
      </c>
      <c r="G16" s="6">
        <f>INDEX(Environmental!$A$2:$I$101,MATCH(Environmental!D16,Environmental!$D$2:$D$101,0),4)</f>
        <v>3612</v>
      </c>
      <c r="H16" s="6">
        <f>INDEX(Environmental!$A$2:$I$101,MATCH(Environmental!E16,Environmental!$E$2:$E$101,0),5)</f>
        <v>33729</v>
      </c>
      <c r="I16" s="6">
        <f>INDEX(Environmental!$A$2:$I$101,MATCH(Environmental!G16,Environmental!$G$2:$G$101,0),7)</f>
        <v>75</v>
      </c>
      <c r="J16" s="6">
        <f>INDEX(Social!$A$2:$G$101,MATCH(Social!C16,Social!$C$2:$C$101,0),3)</f>
        <v>30</v>
      </c>
      <c r="K16" s="6">
        <f>INDEX(Governance!$A$2:$F$101,MATCH(Governance!B16,Governance!$B$2:$B$101,0),2)</f>
        <v>87</v>
      </c>
      <c r="L16" s="6" t="str">
        <f>INDEX(Governance!A16:C115,1,3)</f>
        <v>Yes</v>
      </c>
      <c r="N16" s="11" t="s">
        <v>176</v>
      </c>
      <c r="O16" s="12" cm="1">
        <f t="array" ref="O16">_xlfn.XLOOKUP($O$8,$A$2:$A$101,Table3[Renewable%],"Not Found",0)</f>
        <v>95</v>
      </c>
    </row>
    <row r="17" spans="1:31" x14ac:dyDescent="0.35">
      <c r="A17" s="6">
        <f>INDEX(Company_Master!$A$2:$A$101,MATCH(Company_Master!A17,Company_Master!$A$2:$A$101,0))</f>
        <v>16</v>
      </c>
      <c r="B17" s="6" t="str">
        <f>INDEX(Company_Master!$C$2:$C$101,MATCH(Company_Master!C17,Company_Master!$C$2:$C$101,0))</f>
        <v>Energy</v>
      </c>
      <c r="C17" s="6" t="str">
        <f>_xlfn.XLOOKUP(A17,A17:A116,Company_Master!D17:D116,0)</f>
        <v>Australia</v>
      </c>
      <c r="D17" s="6">
        <f>INDEX(Company_Master!$A$2:$H$101,MATCH(Company_Master!F17,Company_Master!$F$2:$F$101,0),6)</f>
        <v>2463</v>
      </c>
      <c r="E17" s="6">
        <f>_xlfn.XLOOKUP(Governance!E17,Governance!$E$2:$E$101,Governance!$E$2:$E$101,0)</f>
        <v>89</v>
      </c>
      <c r="F17" s="6">
        <f>INDEX(Environmental!$A$2:$I$101,MATCH(Environmental!C17,Environmental!$C$2:$C$101,0),3)</f>
        <v>3245</v>
      </c>
      <c r="G17" s="6">
        <f>INDEX(Environmental!$A$2:$I$101,MATCH(Environmental!D17,Environmental!$D$2:$D$101,0),4)</f>
        <v>4147</v>
      </c>
      <c r="H17" s="6">
        <f>INDEX(Environmental!$A$2:$I$101,MATCH(Environmental!E17,Environmental!$E$2:$E$101,0),5)</f>
        <v>47125</v>
      </c>
      <c r="I17" s="6">
        <f>INDEX(Environmental!$A$2:$I$101,MATCH(Environmental!G17,Environmental!$G$2:$G$101,0),7)</f>
        <v>94</v>
      </c>
      <c r="J17" s="6">
        <f>INDEX(Social!$A$2:$G$101,MATCH(Social!C17,Social!$C$2:$C$101,0),3)</f>
        <v>12</v>
      </c>
      <c r="K17" s="6">
        <f>INDEX(Governance!$A$2:$F$101,MATCH(Governance!B17,Governance!$B$2:$B$101,0),2)</f>
        <v>80</v>
      </c>
      <c r="L17" s="6" t="str">
        <f>INDEX(Governance!A17:C116,1,3)</f>
        <v>Yes</v>
      </c>
      <c r="N17" s="11" t="s">
        <v>139</v>
      </c>
      <c r="O17" s="12" cm="1">
        <f t="array" ref="O17">_xlfn.XLOOKUP($O$8,$A$2:$A$101,Table3[Women Leadership %],"Not Found",0)</f>
        <v>14</v>
      </c>
    </row>
    <row r="18" spans="1:31" x14ac:dyDescent="0.35">
      <c r="A18" s="6">
        <f>INDEX(Company_Master!$A$2:$A$101,MATCH(Company_Master!A18,Company_Master!$A$2:$A$101,0))</f>
        <v>17</v>
      </c>
      <c r="B18" s="6" t="str">
        <f>INDEX(Company_Master!$C$2:$C$101,MATCH(Company_Master!C18,Company_Master!$C$2:$C$101,0))</f>
        <v>Finance</v>
      </c>
      <c r="C18" s="6" t="str">
        <f>_xlfn.XLOOKUP(A18,A18:A117,Company_Master!D18:D117,0)</f>
        <v>Germany</v>
      </c>
      <c r="D18" s="6">
        <f>INDEX(Company_Master!$A$2:$H$101,MATCH(Company_Master!F18,Company_Master!$F$2:$F$101,0),6)</f>
        <v>8780</v>
      </c>
      <c r="E18" s="6">
        <f>_xlfn.XLOOKUP(Governance!E18,Governance!$E$2:$E$101,Governance!$E$2:$E$101,0)</f>
        <v>52</v>
      </c>
      <c r="F18" s="6">
        <f>INDEX(Environmental!$A$2:$I$101,MATCH(Environmental!C18,Environmental!$C$2:$C$101,0),3)</f>
        <v>7850</v>
      </c>
      <c r="G18" s="6">
        <f>INDEX(Environmental!$A$2:$I$101,MATCH(Environmental!D18,Environmental!$D$2:$D$101,0),4)</f>
        <v>4298</v>
      </c>
      <c r="H18" s="6">
        <f>INDEX(Environmental!$A$2:$I$101,MATCH(Environmental!E18,Environmental!$E$2:$E$101,0),5)</f>
        <v>39412</v>
      </c>
      <c r="I18" s="6">
        <f>INDEX(Environmental!$A$2:$I$101,MATCH(Environmental!G18,Environmental!$G$2:$G$101,0),7)</f>
        <v>19</v>
      </c>
      <c r="J18" s="6">
        <f>INDEX(Social!$A$2:$G$101,MATCH(Social!C18,Social!$C$2:$C$101,0),3)</f>
        <v>54</v>
      </c>
      <c r="K18" s="6">
        <f>INDEX(Governance!$A$2:$F$101,MATCH(Governance!B18,Governance!$B$2:$B$101,0),2)</f>
        <v>58</v>
      </c>
      <c r="L18" s="6" t="str">
        <f>INDEX(Governance!A18:C117,1,3)</f>
        <v>Yes</v>
      </c>
      <c r="N18" s="11" t="s">
        <v>144</v>
      </c>
      <c r="O18" s="12" cm="1">
        <f t="array" ref="O18">_xlfn.XLOOKUP($O$8,$A$2:$A$101,Table3[Board Independence %],"Not Found",0)</f>
        <v>94</v>
      </c>
    </row>
    <row r="19" spans="1:31" x14ac:dyDescent="0.35">
      <c r="A19" s="6">
        <f>INDEX(Company_Master!$A$2:$A$101,MATCH(Company_Master!A19,Company_Master!$A$2:$A$101,0))</f>
        <v>18</v>
      </c>
      <c r="B19" s="6" t="str">
        <f>INDEX(Company_Master!$C$2:$C$101,MATCH(Company_Master!C19,Company_Master!$C$2:$C$101,0))</f>
        <v>Energy</v>
      </c>
      <c r="C19" s="6" t="str">
        <f>_xlfn.XLOOKUP(A19,A19:A118,Company_Master!D19:D118,0)</f>
        <v>Germany</v>
      </c>
      <c r="D19" s="6">
        <f>INDEX(Company_Master!$A$2:$H$101,MATCH(Company_Master!F19,Company_Master!$F$2:$F$101,0),6)</f>
        <v>23788</v>
      </c>
      <c r="E19" s="6">
        <f>_xlfn.XLOOKUP(Governance!E19,Governance!$E$2:$E$101,Governance!$E$2:$E$101,0)</f>
        <v>51</v>
      </c>
      <c r="F19" s="6">
        <f>INDEX(Environmental!$A$2:$I$101,MATCH(Environmental!C19,Environmental!$C$2:$C$101,0),3)</f>
        <v>3673</v>
      </c>
      <c r="G19" s="6">
        <f>INDEX(Environmental!$A$2:$I$101,MATCH(Environmental!D19,Environmental!$D$2:$D$101,0),4)</f>
        <v>913</v>
      </c>
      <c r="H19" s="6">
        <f>INDEX(Environmental!$A$2:$I$101,MATCH(Environmental!E19,Environmental!$E$2:$E$101,0),5)</f>
        <v>7679</v>
      </c>
      <c r="I19" s="6">
        <f>INDEX(Environmental!$A$2:$I$101,MATCH(Environmental!G19,Environmental!$G$2:$G$101,0),7)</f>
        <v>43</v>
      </c>
      <c r="J19" s="6">
        <f>INDEX(Social!$A$2:$G$101,MATCH(Social!C19,Social!$C$2:$C$101,0),3)</f>
        <v>45</v>
      </c>
      <c r="K19" s="6">
        <f>INDEX(Governance!$A$2:$F$101,MATCH(Governance!B19,Governance!$B$2:$B$101,0),2)</f>
        <v>64</v>
      </c>
      <c r="L19" s="6" t="str">
        <f>INDEX(Governance!A19:C118,1,3)</f>
        <v>No</v>
      </c>
      <c r="N19" s="11" t="s">
        <v>145</v>
      </c>
      <c r="O19" s="12" t="str" cm="1">
        <f t="array" ref="O19">_xlfn.XLOOKUP($O$8,$A$2:$A$101,Table3[ESG Committee],"Not Found",0)</f>
        <v>Yes</v>
      </c>
    </row>
    <row r="20" spans="1:31" x14ac:dyDescent="0.35">
      <c r="A20" s="6">
        <f>INDEX(Company_Master!$A$2:$A$101,MATCH(Company_Master!A20,Company_Master!$A$2:$A$101,0))</f>
        <v>19</v>
      </c>
      <c r="B20" s="6" t="str">
        <f>INDEX(Company_Master!$C$2:$C$101,MATCH(Company_Master!C20,Company_Master!$C$2:$C$101,0))</f>
        <v>Finance</v>
      </c>
      <c r="C20" s="6" t="str">
        <f>_xlfn.XLOOKUP(A20,A20:A119,Company_Master!D20:D119,0)</f>
        <v>Japan</v>
      </c>
      <c r="D20" s="6">
        <f>INDEX(Company_Master!$A$2:$H$101,MATCH(Company_Master!F20,Company_Master!$F$2:$F$101,0),6)</f>
        <v>21452</v>
      </c>
      <c r="E20" s="6">
        <f>_xlfn.XLOOKUP(Governance!E20,Governance!$E$2:$E$101,Governance!$E$2:$E$101,0)</f>
        <v>88</v>
      </c>
      <c r="F20" s="6">
        <f>INDEX(Environmental!$A$2:$I$101,MATCH(Environmental!C20,Environmental!$C$2:$C$101,0),3)</f>
        <v>5357</v>
      </c>
      <c r="G20" s="6">
        <f>INDEX(Environmental!$A$2:$I$101,MATCH(Environmental!D20,Environmental!$D$2:$D$101,0),4)</f>
        <v>4426</v>
      </c>
      <c r="H20" s="6">
        <f>INDEX(Environmental!$A$2:$I$101,MATCH(Environmental!E20,Environmental!$E$2:$E$101,0),5)</f>
        <v>8895</v>
      </c>
      <c r="I20" s="6">
        <f>INDEX(Environmental!$A$2:$I$101,MATCH(Environmental!G20,Environmental!$G$2:$G$101,0),7)</f>
        <v>98</v>
      </c>
      <c r="J20" s="6">
        <f>INDEX(Social!$A$2:$G$101,MATCH(Social!C20,Social!$C$2:$C$101,0),3)</f>
        <v>18</v>
      </c>
      <c r="K20" s="6">
        <f>INDEX(Governance!$A$2:$F$101,MATCH(Governance!B20,Governance!$B$2:$B$101,0),2)</f>
        <v>100</v>
      </c>
      <c r="L20" s="6" t="str">
        <f>INDEX(Governance!A20:C119,1,3)</f>
        <v>Yes</v>
      </c>
    </row>
    <row r="21" spans="1:31" x14ac:dyDescent="0.35">
      <c r="A21" s="6">
        <f>INDEX(Company_Master!$A$2:$A$101,MATCH(Company_Master!A21,Company_Master!$A$2:$A$101,0))</f>
        <v>20</v>
      </c>
      <c r="B21" s="6" t="str">
        <f>INDEX(Company_Master!$C$2:$C$101,MATCH(Company_Master!C21,Company_Master!$C$2:$C$101,0))</f>
        <v>Manufacturing</v>
      </c>
      <c r="C21" s="6" t="str">
        <f>_xlfn.XLOOKUP(A21,A21:A120,Company_Master!D21:D120,0)</f>
        <v>UK</v>
      </c>
      <c r="D21" s="6">
        <f>INDEX(Company_Master!$A$2:$H$101,MATCH(Company_Master!F21,Company_Master!$F$2:$F$101,0),6)</f>
        <v>28443</v>
      </c>
      <c r="E21" s="6">
        <f>_xlfn.XLOOKUP(Governance!E21,Governance!$E$2:$E$101,Governance!$E$2:$E$101,0)</f>
        <v>65</v>
      </c>
      <c r="F21" s="6">
        <f>INDEX(Environmental!$A$2:$I$101,MATCH(Environmental!C21,Environmental!$C$2:$C$101,0),3)</f>
        <v>7338</v>
      </c>
      <c r="G21" s="6">
        <f>INDEX(Environmental!$A$2:$I$101,MATCH(Environmental!D21,Environmental!$D$2:$D$101,0),4)</f>
        <v>2053</v>
      </c>
      <c r="H21" s="6">
        <f>INDEX(Environmental!$A$2:$I$101,MATCH(Environmental!E21,Environmental!$E$2:$E$101,0),5)</f>
        <v>6879</v>
      </c>
      <c r="I21" s="6">
        <f>INDEX(Environmental!$A$2:$I$101,MATCH(Environmental!G21,Environmental!$G$2:$G$101,0),7)</f>
        <v>72</v>
      </c>
      <c r="J21" s="6">
        <f>INDEX(Social!$A$2:$G$101,MATCH(Social!C21,Social!$C$2:$C$101,0),3)</f>
        <v>40</v>
      </c>
      <c r="K21" s="6">
        <f>INDEX(Governance!$A$2:$F$101,MATCH(Governance!B21,Governance!$B$2:$B$101,0),2)</f>
        <v>82</v>
      </c>
      <c r="L21" s="6" t="str">
        <f>INDEX(Governance!A21:C120,1,3)</f>
        <v>Yes</v>
      </c>
      <c r="M21" s="4"/>
      <c r="N21" s="4"/>
      <c r="O21" s="4"/>
      <c r="P21" s="4"/>
      <c r="Q21" s="4"/>
      <c r="R21" s="4"/>
      <c r="S21" s="4"/>
      <c r="T21" s="4"/>
      <c r="U21" s="4"/>
      <c r="V21" s="4"/>
      <c r="W21" s="4"/>
      <c r="X21" s="4"/>
      <c r="Y21" s="4"/>
      <c r="Z21" s="4"/>
      <c r="AA21" s="4"/>
      <c r="AB21" s="4"/>
      <c r="AC21" s="4"/>
      <c r="AD21" s="4"/>
      <c r="AE21" s="4"/>
    </row>
    <row r="22" spans="1:31" x14ac:dyDescent="0.35">
      <c r="A22" s="6">
        <f>INDEX(Company_Master!$A$2:$A$101,MATCH(Company_Master!A22,Company_Master!$A$2:$A$101,0))</f>
        <v>21</v>
      </c>
      <c r="B22" s="6" t="str">
        <f>INDEX(Company_Master!$C$2:$C$101,MATCH(Company_Master!C22,Company_Master!$C$2:$C$101,0))</f>
        <v>Manufacturing</v>
      </c>
      <c r="C22" s="6" t="str">
        <f>_xlfn.XLOOKUP(A22,A22:A121,Company_Master!D22:D121,0)</f>
        <v>USA</v>
      </c>
      <c r="D22" s="6">
        <f>INDEX(Company_Master!$A$2:$H$101,MATCH(Company_Master!F22,Company_Master!$F$2:$F$101,0),6)</f>
        <v>19136</v>
      </c>
      <c r="E22" s="6">
        <f>_xlfn.XLOOKUP(Governance!E22,Governance!$E$2:$E$101,Governance!$E$2:$E$101,0)</f>
        <v>61</v>
      </c>
      <c r="F22" s="6">
        <f>INDEX(Environmental!$A$2:$I$101,MATCH(Environmental!C22,Environmental!$C$2:$C$101,0),3)</f>
        <v>416</v>
      </c>
      <c r="G22" s="6">
        <f>INDEX(Environmental!$A$2:$I$101,MATCH(Environmental!D22,Environmental!$D$2:$D$101,0),4)</f>
        <v>2125</v>
      </c>
      <c r="H22" s="6">
        <f>INDEX(Environmental!$A$2:$I$101,MATCH(Environmental!E22,Environmental!$E$2:$E$101,0),5)</f>
        <v>16727</v>
      </c>
      <c r="I22" s="6">
        <f>INDEX(Environmental!$A$2:$I$101,MATCH(Environmental!G22,Environmental!$G$2:$G$101,0),7)</f>
        <v>95</v>
      </c>
      <c r="J22" s="6">
        <f>INDEX(Social!$A$2:$G$101,MATCH(Social!C22,Social!$C$2:$C$101,0),3)</f>
        <v>26</v>
      </c>
      <c r="K22" s="6">
        <f>INDEX(Governance!$A$2:$F$101,MATCH(Governance!B22,Governance!$B$2:$B$101,0),2)</f>
        <v>95</v>
      </c>
      <c r="L22" s="6" t="str">
        <f>INDEX(Governance!A22:C121,1,3)</f>
        <v>No</v>
      </c>
      <c r="M22" s="4"/>
      <c r="N22" s="4"/>
      <c r="O22" s="4"/>
      <c r="P22" s="4"/>
      <c r="Q22" s="4"/>
      <c r="R22" s="4"/>
      <c r="S22" s="4"/>
      <c r="T22" s="4"/>
      <c r="U22" s="4"/>
      <c r="V22" s="4"/>
      <c r="W22" s="4"/>
      <c r="X22" s="4"/>
      <c r="Y22" s="4"/>
      <c r="Z22" s="4"/>
      <c r="AA22" s="4"/>
      <c r="AB22" s="4"/>
      <c r="AC22" s="4"/>
      <c r="AD22" s="4"/>
      <c r="AE22" s="4"/>
    </row>
    <row r="23" spans="1:31" x14ac:dyDescent="0.35">
      <c r="A23" s="6">
        <f>INDEX(Company_Master!$A$2:$A$101,MATCH(Company_Master!A23,Company_Master!$A$2:$A$101,0))</f>
        <v>22</v>
      </c>
      <c r="B23" s="6" t="str">
        <f>INDEX(Company_Master!$C$2:$C$101,MATCH(Company_Master!C23,Company_Master!$C$2:$C$101,0))</f>
        <v>Healthcare</v>
      </c>
      <c r="C23" s="6" t="str">
        <f>_xlfn.XLOOKUP(A23,A23:A122,Company_Master!D23:D122,0)</f>
        <v>Japan</v>
      </c>
      <c r="D23" s="6">
        <f>INDEX(Company_Master!$A$2:$H$101,MATCH(Company_Master!F23,Company_Master!$F$2:$F$101,0),6)</f>
        <v>1646</v>
      </c>
      <c r="E23" s="6">
        <f>_xlfn.XLOOKUP(Governance!E23,Governance!$E$2:$E$101,Governance!$E$2:$E$101,0)</f>
        <v>50</v>
      </c>
      <c r="F23" s="6">
        <f>INDEX(Environmental!$A$2:$I$101,MATCH(Environmental!C23,Environmental!$C$2:$C$101,0),3)</f>
        <v>4387</v>
      </c>
      <c r="G23" s="6">
        <f>INDEX(Environmental!$A$2:$I$101,MATCH(Environmental!D23,Environmental!$D$2:$D$101,0),4)</f>
        <v>982</v>
      </c>
      <c r="H23" s="6">
        <f>INDEX(Environmental!$A$2:$I$101,MATCH(Environmental!E23,Environmental!$E$2:$E$101,0),5)</f>
        <v>42333</v>
      </c>
      <c r="I23" s="6">
        <f>INDEX(Environmental!$A$2:$I$101,MATCH(Environmental!G23,Environmental!$G$2:$G$101,0),7)</f>
        <v>71</v>
      </c>
      <c r="J23" s="6">
        <f>INDEX(Social!$A$2:$G$101,MATCH(Social!C23,Social!$C$2:$C$101,0),3)</f>
        <v>48</v>
      </c>
      <c r="K23" s="6">
        <f>INDEX(Governance!$A$2:$F$101,MATCH(Governance!B23,Governance!$B$2:$B$101,0),2)</f>
        <v>98</v>
      </c>
      <c r="L23" s="6" t="str">
        <f>INDEX(Governance!A23:C122,1,3)</f>
        <v>No</v>
      </c>
      <c r="M23" s="4"/>
      <c r="N23" s="4"/>
      <c r="O23" s="4"/>
      <c r="P23" s="4"/>
      <c r="Q23" s="4"/>
      <c r="R23" s="4"/>
      <c r="S23" s="4"/>
      <c r="T23" s="4"/>
      <c r="U23" s="4"/>
      <c r="V23" s="4"/>
      <c r="W23" s="4"/>
      <c r="X23" s="4"/>
      <c r="Y23" s="4"/>
      <c r="Z23" s="4"/>
      <c r="AA23" s="4"/>
      <c r="AB23" s="4"/>
      <c r="AC23" s="4"/>
      <c r="AD23" s="4"/>
      <c r="AE23" s="4"/>
    </row>
    <row r="24" spans="1:31" x14ac:dyDescent="0.35">
      <c r="A24" s="6">
        <f>INDEX(Company_Master!$A$2:$A$101,MATCH(Company_Master!A24,Company_Master!$A$2:$A$101,0))</f>
        <v>23</v>
      </c>
      <c r="B24" s="6" t="str">
        <f>INDEX(Company_Master!$C$2:$C$101,MATCH(Company_Master!C24,Company_Master!$C$2:$C$101,0))</f>
        <v>Finance</v>
      </c>
      <c r="C24" s="6" t="str">
        <f>_xlfn.XLOOKUP(A24,A24:A123,Company_Master!D24:D123,0)</f>
        <v>Germany</v>
      </c>
      <c r="D24" s="6">
        <f>INDEX(Company_Master!$A$2:$H$101,MATCH(Company_Master!F24,Company_Master!$F$2:$F$101,0),6)</f>
        <v>13362</v>
      </c>
      <c r="E24" s="6">
        <f>_xlfn.XLOOKUP(Governance!E24,Governance!$E$2:$E$101,Governance!$E$2:$E$101,0)</f>
        <v>39</v>
      </c>
      <c r="F24" s="6">
        <f>INDEX(Environmental!$A$2:$I$101,MATCH(Environmental!C24,Environmental!$C$2:$C$101,0),3)</f>
        <v>1872</v>
      </c>
      <c r="G24" s="6">
        <f>INDEX(Environmental!$A$2:$I$101,MATCH(Environmental!D24,Environmental!$D$2:$D$101,0),4)</f>
        <v>3313</v>
      </c>
      <c r="H24" s="6">
        <f>INDEX(Environmental!$A$2:$I$101,MATCH(Environmental!E24,Environmental!$E$2:$E$101,0),5)</f>
        <v>12941</v>
      </c>
      <c r="I24" s="6">
        <f>INDEX(Environmental!$A$2:$I$101,MATCH(Environmental!G24,Environmental!$G$2:$G$101,0),7)</f>
        <v>97</v>
      </c>
      <c r="J24" s="6">
        <f>INDEX(Social!$A$2:$G$101,MATCH(Social!C24,Social!$C$2:$C$101,0),3)</f>
        <v>54</v>
      </c>
      <c r="K24" s="6">
        <f>INDEX(Governance!$A$2:$F$101,MATCH(Governance!B24,Governance!$B$2:$B$101,0),2)</f>
        <v>53</v>
      </c>
      <c r="L24" s="6" t="str">
        <f>INDEX(Governance!A24:C123,1,3)</f>
        <v>No</v>
      </c>
      <c r="M24" s="4"/>
      <c r="N24" s="4"/>
      <c r="O24" s="4"/>
      <c r="P24" s="4"/>
      <c r="Q24" s="4"/>
      <c r="R24" s="4"/>
      <c r="S24" s="4"/>
      <c r="T24" s="4"/>
      <c r="U24" s="4"/>
      <c r="V24" s="4"/>
      <c r="W24" s="4"/>
      <c r="X24" s="4"/>
      <c r="Y24" s="4"/>
      <c r="Z24" s="4"/>
      <c r="AA24" s="4"/>
      <c r="AB24" s="4"/>
      <c r="AC24" s="4"/>
      <c r="AD24" s="4"/>
      <c r="AE24" s="4"/>
    </row>
    <row r="25" spans="1:31" x14ac:dyDescent="0.35">
      <c r="A25" s="6">
        <f>INDEX(Company_Master!$A$2:$A$101,MATCH(Company_Master!A25,Company_Master!$A$2:$A$101,0))</f>
        <v>24</v>
      </c>
      <c r="B25" s="6" t="str">
        <f>INDEX(Company_Master!$C$2:$C$101,MATCH(Company_Master!C25,Company_Master!$C$2:$C$101,0))</f>
        <v>Energy</v>
      </c>
      <c r="C25" s="6" t="str">
        <f>_xlfn.XLOOKUP(A25,A25:A124,Company_Master!D25:D124,0)</f>
        <v>Japan</v>
      </c>
      <c r="D25" s="6">
        <f>INDEX(Company_Master!$A$2:$H$101,MATCH(Company_Master!F25,Company_Master!$F$2:$F$101,0),6)</f>
        <v>27810</v>
      </c>
      <c r="E25" s="6">
        <f>_xlfn.XLOOKUP(Governance!E25,Governance!$E$2:$E$101,Governance!$E$2:$E$101,0)</f>
        <v>41</v>
      </c>
      <c r="F25" s="6">
        <f>INDEX(Environmental!$A$2:$I$101,MATCH(Environmental!C25,Environmental!$C$2:$C$101,0),3)</f>
        <v>4780</v>
      </c>
      <c r="G25" s="6">
        <f>INDEX(Environmental!$A$2:$I$101,MATCH(Environmental!D25,Environmental!$D$2:$D$101,0),4)</f>
        <v>1666</v>
      </c>
      <c r="H25" s="6">
        <f>INDEX(Environmental!$A$2:$I$101,MATCH(Environmental!E25,Environmental!$E$2:$E$101,0),5)</f>
        <v>30430</v>
      </c>
      <c r="I25" s="6">
        <f>INDEX(Environmental!$A$2:$I$101,MATCH(Environmental!G25,Environmental!$G$2:$G$101,0),7)</f>
        <v>47</v>
      </c>
      <c r="J25" s="6">
        <f>INDEX(Social!$A$2:$G$101,MATCH(Social!C25,Social!$C$2:$C$101,0),3)</f>
        <v>35</v>
      </c>
      <c r="K25" s="6">
        <f>INDEX(Governance!$A$2:$F$101,MATCH(Governance!B25,Governance!$B$2:$B$101,0),2)</f>
        <v>97</v>
      </c>
      <c r="L25" s="6" t="str">
        <f>INDEX(Governance!A25:C124,1,3)</f>
        <v>Yes</v>
      </c>
      <c r="M25" s="4"/>
      <c r="N25" s="4"/>
      <c r="O25" s="4"/>
      <c r="P25" s="4"/>
      <c r="Q25" s="4"/>
      <c r="R25" s="4"/>
      <c r="S25" s="4"/>
      <c r="T25" s="4"/>
      <c r="U25" s="4"/>
      <c r="V25" s="4"/>
      <c r="W25" s="4"/>
      <c r="X25" s="4"/>
      <c r="Y25" s="4"/>
      <c r="Z25" s="4"/>
      <c r="AA25" s="4"/>
      <c r="AB25" s="4"/>
      <c r="AC25" s="4"/>
      <c r="AD25" s="4"/>
      <c r="AE25" s="4"/>
    </row>
    <row r="26" spans="1:31" x14ac:dyDescent="0.35">
      <c r="A26" s="6">
        <f>INDEX(Company_Master!$A$2:$A$101,MATCH(Company_Master!A26,Company_Master!$A$2:$A$101,0))</f>
        <v>25</v>
      </c>
      <c r="B26" s="6" t="str">
        <f>INDEX(Company_Master!$C$2:$C$101,MATCH(Company_Master!C26,Company_Master!$C$2:$C$101,0))</f>
        <v>Manufacturing</v>
      </c>
      <c r="C26" s="6" t="str">
        <f>_xlfn.XLOOKUP(A26,A26:A125,Company_Master!D26:D125,0)</f>
        <v>Australia</v>
      </c>
      <c r="D26" s="6">
        <f>INDEX(Company_Master!$A$2:$H$101,MATCH(Company_Master!F26,Company_Master!$F$2:$F$101,0),6)</f>
        <v>22663</v>
      </c>
      <c r="E26" s="6">
        <f>_xlfn.XLOOKUP(Governance!E26,Governance!$E$2:$E$101,Governance!$E$2:$E$101,0)</f>
        <v>74</v>
      </c>
      <c r="F26" s="6">
        <f>INDEX(Environmental!$A$2:$I$101,MATCH(Environmental!C26,Environmental!$C$2:$C$101,0),3)</f>
        <v>3928</v>
      </c>
      <c r="G26" s="6">
        <f>INDEX(Environmental!$A$2:$I$101,MATCH(Environmental!D26,Environmental!$D$2:$D$101,0),4)</f>
        <v>4169</v>
      </c>
      <c r="H26" s="6">
        <f>INDEX(Environmental!$A$2:$I$101,MATCH(Environmental!E26,Environmental!$E$2:$E$101,0),5)</f>
        <v>32745</v>
      </c>
      <c r="I26" s="6">
        <f>INDEX(Environmental!$A$2:$I$101,MATCH(Environmental!G26,Environmental!$G$2:$G$101,0),7)</f>
        <v>83</v>
      </c>
      <c r="J26" s="6">
        <f>INDEX(Social!$A$2:$G$101,MATCH(Social!C26,Social!$C$2:$C$101,0),3)</f>
        <v>14</v>
      </c>
      <c r="K26" s="6">
        <f>INDEX(Governance!$A$2:$F$101,MATCH(Governance!B26,Governance!$B$2:$B$101,0),2)</f>
        <v>52</v>
      </c>
      <c r="L26" s="6" t="str">
        <f>INDEX(Governance!A26:C125,1,3)</f>
        <v>No</v>
      </c>
      <c r="M26" s="4"/>
      <c r="N26" s="18"/>
      <c r="O26" s="4"/>
      <c r="P26" s="4"/>
      <c r="Q26" s="4"/>
      <c r="R26" s="19" t="b">
        <v>1</v>
      </c>
      <c r="S26" s="4"/>
      <c r="T26" s="4"/>
      <c r="U26" s="4"/>
      <c r="V26" s="4"/>
      <c r="W26" s="4"/>
      <c r="X26" s="4"/>
      <c r="Y26" s="4"/>
      <c r="Z26" s="4"/>
      <c r="AA26" s="4"/>
      <c r="AB26" s="4"/>
      <c r="AC26" s="4"/>
      <c r="AD26" s="4"/>
      <c r="AE26" s="4"/>
    </row>
    <row r="27" spans="1:31" x14ac:dyDescent="0.35">
      <c r="A27" s="6">
        <f>INDEX(Company_Master!$A$2:$A$101,MATCH(Company_Master!A27,Company_Master!$A$2:$A$101,0))</f>
        <v>26</v>
      </c>
      <c r="B27" s="6" t="str">
        <f>INDEX(Company_Master!$C$2:$C$101,MATCH(Company_Master!C27,Company_Master!$C$2:$C$101,0))</f>
        <v>Energy</v>
      </c>
      <c r="C27" s="6" t="str">
        <f>_xlfn.XLOOKUP(A27,A27:A126,Company_Master!D27:D126,0)</f>
        <v>Canada</v>
      </c>
      <c r="D27" s="6">
        <f>INDEX(Company_Master!$A$2:$H$101,MATCH(Company_Master!F27,Company_Master!$F$2:$F$101,0),6)</f>
        <v>22754</v>
      </c>
      <c r="E27" s="6">
        <f>_xlfn.XLOOKUP(Governance!E27,Governance!$E$2:$E$101,Governance!$E$2:$E$101,0)</f>
        <v>44</v>
      </c>
      <c r="F27" s="6">
        <f>INDEX(Environmental!$A$2:$I$101,MATCH(Environmental!C27,Environmental!$C$2:$C$101,0),3)</f>
        <v>1166</v>
      </c>
      <c r="G27" s="6">
        <f>INDEX(Environmental!$A$2:$I$101,MATCH(Environmental!D27,Environmental!$D$2:$D$101,0),4)</f>
        <v>2098</v>
      </c>
      <c r="H27" s="6">
        <f>INDEX(Environmental!$A$2:$I$101,MATCH(Environmental!E27,Environmental!$E$2:$E$101,0),5)</f>
        <v>13679</v>
      </c>
      <c r="I27" s="6">
        <f>INDEX(Environmental!$A$2:$I$101,MATCH(Environmental!G27,Environmental!$G$2:$G$101,0),7)</f>
        <v>42</v>
      </c>
      <c r="J27" s="6">
        <f>INDEX(Social!$A$2:$G$101,MATCH(Social!C27,Social!$C$2:$C$101,0),3)</f>
        <v>56</v>
      </c>
      <c r="K27" s="6">
        <f>INDEX(Governance!$A$2:$F$101,MATCH(Governance!B27,Governance!$B$2:$B$101,0),2)</f>
        <v>51</v>
      </c>
      <c r="L27" s="6" t="str">
        <f>INDEX(Governance!A27:C126,1,3)</f>
        <v>Yes</v>
      </c>
      <c r="M27" s="4"/>
      <c r="N27" s="19" t="b">
        <v>1</v>
      </c>
      <c r="O27" s="4"/>
      <c r="P27" s="4"/>
      <c r="Q27" s="4"/>
      <c r="R27" s="9" t="s">
        <v>164</v>
      </c>
      <c r="S27" s="9" t="s">
        <v>172</v>
      </c>
      <c r="T27" s="9" t="s">
        <v>173</v>
      </c>
      <c r="U27" s="9" t="s">
        <v>174</v>
      </c>
      <c r="V27" s="4"/>
      <c r="W27" s="4"/>
      <c r="X27" s="4"/>
      <c r="Y27" s="4"/>
      <c r="Z27" s="9" t="s">
        <v>3</v>
      </c>
      <c r="AA27" s="9" t="s">
        <v>175</v>
      </c>
      <c r="AB27" s="4"/>
      <c r="AC27" s="4"/>
      <c r="AD27" s="4"/>
      <c r="AE27" s="4"/>
    </row>
    <row r="28" spans="1:31" x14ac:dyDescent="0.35">
      <c r="A28" s="6">
        <f>INDEX(Company_Master!$A$2:$A$101,MATCH(Company_Master!A28,Company_Master!$A$2:$A$101,0))</f>
        <v>27</v>
      </c>
      <c r="B28" s="6" t="str">
        <f>INDEX(Company_Master!$C$2:$C$101,MATCH(Company_Master!C28,Company_Master!$C$2:$C$101,0))</f>
        <v>Finance</v>
      </c>
      <c r="C28" s="6" t="str">
        <f>_xlfn.XLOOKUP(A28,A28:A127,Company_Master!D28:D127,0)</f>
        <v>Canada</v>
      </c>
      <c r="D28" s="6">
        <f>INDEX(Company_Master!$A$2:$H$101,MATCH(Company_Master!F28,Company_Master!$F$2:$F$101,0),6)</f>
        <v>18310</v>
      </c>
      <c r="E28" s="6">
        <f>_xlfn.XLOOKUP(Governance!E28,Governance!$E$2:$E$101,Governance!$E$2:$E$101,0)</f>
        <v>93</v>
      </c>
      <c r="F28" s="6">
        <f>INDEX(Environmental!$A$2:$I$101,MATCH(Environmental!C28,Environmental!$C$2:$C$101,0),3)</f>
        <v>4028</v>
      </c>
      <c r="G28" s="6">
        <f>INDEX(Environmental!$A$2:$I$101,MATCH(Environmental!D28,Environmental!$D$2:$D$101,0),4)</f>
        <v>3299</v>
      </c>
      <c r="H28" s="6">
        <f>INDEX(Environmental!$A$2:$I$101,MATCH(Environmental!E28,Environmental!$E$2:$E$101,0),5)</f>
        <v>22245</v>
      </c>
      <c r="I28" s="6">
        <f>INDEX(Environmental!$A$2:$I$101,MATCH(Environmental!G28,Environmental!$G$2:$G$101,0),7)</f>
        <v>67</v>
      </c>
      <c r="J28" s="6">
        <f>INDEX(Social!$A$2:$G$101,MATCH(Social!C28,Social!$C$2:$C$101,0),3)</f>
        <v>12</v>
      </c>
      <c r="K28" s="6">
        <f>INDEX(Governance!$A$2:$F$101,MATCH(Governance!B28,Governance!$B$2:$B$101,0),2)</f>
        <v>60</v>
      </c>
      <c r="L28" s="6" t="str">
        <f>INDEX(Governance!A28:C127,1,3)</f>
        <v>No</v>
      </c>
      <c r="M28" s="4"/>
      <c r="N28" s="9" t="s">
        <v>2</v>
      </c>
      <c r="O28" s="9" t="s">
        <v>163</v>
      </c>
      <c r="P28" s="4"/>
      <c r="Q28" s="4"/>
      <c r="R28" s="7" t="s">
        <v>35</v>
      </c>
      <c r="S28" s="47">
        <v>47209</v>
      </c>
      <c r="T28" s="47">
        <v>34793</v>
      </c>
      <c r="U28" s="47">
        <v>409408</v>
      </c>
      <c r="V28" s="4"/>
      <c r="W28" s="4"/>
      <c r="X28" s="4"/>
      <c r="Y28" s="4"/>
      <c r="Z28" s="8" t="s">
        <v>28</v>
      </c>
      <c r="AA28" s="14">
        <v>15</v>
      </c>
      <c r="AB28" s="4"/>
      <c r="AC28" s="4"/>
      <c r="AD28" s="4"/>
      <c r="AE28" s="4"/>
    </row>
    <row r="29" spans="1:31" x14ac:dyDescent="0.35">
      <c r="A29" s="6">
        <f>INDEX(Company_Master!$A$2:$A$101,MATCH(Company_Master!A29,Company_Master!$A$2:$A$101,0))</f>
        <v>28</v>
      </c>
      <c r="B29" s="6" t="str">
        <f>INDEX(Company_Master!$C$2:$C$101,MATCH(Company_Master!C29,Company_Master!$C$2:$C$101,0))</f>
        <v>Technology</v>
      </c>
      <c r="C29" s="6" t="str">
        <f>_xlfn.XLOOKUP(A29,A29:A128,Company_Master!D29:D128,0)</f>
        <v>Canada</v>
      </c>
      <c r="D29" s="6">
        <f>INDEX(Company_Master!$A$2:$H$101,MATCH(Company_Master!F29,Company_Master!$F$2:$F$101,0),6)</f>
        <v>1650</v>
      </c>
      <c r="E29" s="6">
        <f>_xlfn.XLOOKUP(Governance!E29,Governance!$E$2:$E$101,Governance!$E$2:$E$101,0)</f>
        <v>64</v>
      </c>
      <c r="F29" s="6">
        <f>INDEX(Environmental!$A$2:$I$101,MATCH(Environmental!C29,Environmental!$C$2:$C$101,0),3)</f>
        <v>4369</v>
      </c>
      <c r="G29" s="6">
        <f>INDEX(Environmental!$A$2:$I$101,MATCH(Environmental!D29,Environmental!$D$2:$D$101,0),4)</f>
        <v>3397</v>
      </c>
      <c r="H29" s="6">
        <f>INDEX(Environmental!$A$2:$I$101,MATCH(Environmental!E29,Environmental!$E$2:$E$101,0),5)</f>
        <v>3878</v>
      </c>
      <c r="I29" s="6">
        <f>INDEX(Environmental!$A$2:$I$101,MATCH(Environmental!G29,Environmental!$G$2:$G$101,0),7)</f>
        <v>39</v>
      </c>
      <c r="J29" s="6">
        <f>INDEX(Social!$A$2:$G$101,MATCH(Social!C29,Social!$C$2:$C$101,0),3)</f>
        <v>22</v>
      </c>
      <c r="K29" s="6">
        <f>INDEX(Governance!$A$2:$F$101,MATCH(Governance!B29,Governance!$B$2:$B$101,0),2)</f>
        <v>53</v>
      </c>
      <c r="L29" s="6" t="str">
        <f>INDEX(Governance!A29:C128,1,3)</f>
        <v>Yes</v>
      </c>
      <c r="M29" s="4"/>
      <c r="N29" s="7" t="s">
        <v>35</v>
      </c>
      <c r="O29" s="43">
        <v>60</v>
      </c>
      <c r="P29" s="4"/>
      <c r="Q29" s="4"/>
      <c r="R29" s="7" t="s">
        <v>19</v>
      </c>
      <c r="S29" s="47">
        <v>80776</v>
      </c>
      <c r="T29" s="47">
        <v>62458</v>
      </c>
      <c r="U29" s="47">
        <v>467930</v>
      </c>
      <c r="V29" s="4"/>
      <c r="W29" s="4"/>
      <c r="X29" s="4"/>
      <c r="Y29" s="4"/>
      <c r="Z29" s="8" t="s">
        <v>30</v>
      </c>
      <c r="AA29" s="14">
        <v>17</v>
      </c>
      <c r="AB29" s="4"/>
      <c r="AC29" s="4"/>
      <c r="AD29" s="4"/>
      <c r="AE29" s="4"/>
    </row>
    <row r="30" spans="1:31" x14ac:dyDescent="0.35">
      <c r="A30" s="6">
        <f>INDEX(Company_Master!$A$2:$A$101,MATCH(Company_Master!A30,Company_Master!$A$2:$A$101,0))</f>
        <v>29</v>
      </c>
      <c r="B30" s="6" t="str">
        <f>INDEX(Company_Master!$C$2:$C$101,MATCH(Company_Master!C30,Company_Master!$C$2:$C$101,0))</f>
        <v>Finance</v>
      </c>
      <c r="C30" s="6" t="str">
        <f>_xlfn.XLOOKUP(A30,A30:A129,Company_Master!D30:D129,0)</f>
        <v>Germany</v>
      </c>
      <c r="D30" s="6">
        <f>INDEX(Company_Master!$A$2:$H$101,MATCH(Company_Master!F30,Company_Master!$F$2:$F$101,0),6)</f>
        <v>23135</v>
      </c>
      <c r="E30" s="6">
        <f>_xlfn.XLOOKUP(Governance!E30,Governance!$E$2:$E$101,Governance!$E$2:$E$101,0)</f>
        <v>82</v>
      </c>
      <c r="F30" s="6">
        <f>INDEX(Environmental!$A$2:$I$101,MATCH(Environmental!C30,Environmental!$C$2:$C$101,0),3)</f>
        <v>7335</v>
      </c>
      <c r="G30" s="6">
        <f>INDEX(Environmental!$A$2:$I$101,MATCH(Environmental!D30,Environmental!$D$2:$D$101,0),4)</f>
        <v>491</v>
      </c>
      <c r="H30" s="6">
        <f>INDEX(Environmental!$A$2:$I$101,MATCH(Environmental!E30,Environmental!$E$2:$E$101,0),5)</f>
        <v>16672</v>
      </c>
      <c r="I30" s="6">
        <f>INDEX(Environmental!$A$2:$I$101,MATCH(Environmental!G30,Environmental!$G$2:$G$101,0),7)</f>
        <v>36</v>
      </c>
      <c r="J30" s="6">
        <f>INDEX(Social!$A$2:$G$101,MATCH(Social!C30,Social!$C$2:$C$101,0),3)</f>
        <v>40</v>
      </c>
      <c r="K30" s="6">
        <f>INDEX(Governance!$A$2:$F$101,MATCH(Governance!B30,Governance!$B$2:$B$101,0),2)</f>
        <v>89</v>
      </c>
      <c r="L30" s="6" t="str">
        <f>INDEX(Governance!A30:C129,1,3)</f>
        <v>No</v>
      </c>
      <c r="M30" s="4"/>
      <c r="N30" s="7" t="s">
        <v>19</v>
      </c>
      <c r="O30" s="43">
        <v>66.05</v>
      </c>
      <c r="P30" s="20"/>
      <c r="Q30" s="4"/>
      <c r="R30" s="7" t="s">
        <v>14</v>
      </c>
      <c r="S30" s="47">
        <v>51677</v>
      </c>
      <c r="T30" s="47">
        <v>39507</v>
      </c>
      <c r="U30" s="47">
        <v>487358</v>
      </c>
      <c r="V30" s="20"/>
      <c r="W30" s="4"/>
      <c r="X30" s="4"/>
      <c r="Y30" s="4"/>
      <c r="Z30" s="8" t="s">
        <v>42</v>
      </c>
      <c r="AA30" s="14">
        <v>19</v>
      </c>
      <c r="AB30" s="4"/>
      <c r="AC30" s="4"/>
      <c r="AD30" s="4"/>
      <c r="AE30" s="4"/>
    </row>
    <row r="31" spans="1:31" x14ac:dyDescent="0.35">
      <c r="A31" s="6">
        <f>INDEX(Company_Master!$A$2:$A$101,MATCH(Company_Master!A31,Company_Master!$A$2:$A$101,0))</f>
        <v>30</v>
      </c>
      <c r="B31" s="6" t="str">
        <f>INDEX(Company_Master!$C$2:$C$101,MATCH(Company_Master!C31,Company_Master!$C$2:$C$101,0))</f>
        <v>Retail</v>
      </c>
      <c r="C31" s="6" t="str">
        <f>_xlfn.XLOOKUP(A31,A31:A130,Company_Master!D31:D130,0)</f>
        <v>Germany</v>
      </c>
      <c r="D31" s="6">
        <f>INDEX(Company_Master!$A$2:$H$101,MATCH(Company_Master!F31,Company_Master!$F$2:$F$101,0),6)</f>
        <v>10791</v>
      </c>
      <c r="E31" s="6">
        <f>_xlfn.XLOOKUP(Governance!E31,Governance!$E$2:$E$101,Governance!$E$2:$E$101,0)</f>
        <v>42</v>
      </c>
      <c r="F31" s="6">
        <f>INDEX(Environmental!$A$2:$I$101,MATCH(Environmental!C31,Environmental!$C$2:$C$101,0),3)</f>
        <v>7359</v>
      </c>
      <c r="G31" s="6">
        <f>INDEX(Environmental!$A$2:$I$101,MATCH(Environmental!D31,Environmental!$D$2:$D$101,0),4)</f>
        <v>1319</v>
      </c>
      <c r="H31" s="6">
        <f>INDEX(Environmental!$A$2:$I$101,MATCH(Environmental!E31,Environmental!$E$2:$E$101,0),5)</f>
        <v>25268</v>
      </c>
      <c r="I31" s="6">
        <f>INDEX(Environmental!$A$2:$I$101,MATCH(Environmental!G31,Environmental!$G$2:$G$101,0),7)</f>
        <v>41</v>
      </c>
      <c r="J31" s="6">
        <f>INDEX(Social!$A$2:$G$101,MATCH(Social!C31,Social!$C$2:$C$101,0),3)</f>
        <v>22</v>
      </c>
      <c r="K31" s="6">
        <f>INDEX(Governance!$A$2:$F$101,MATCH(Governance!B31,Governance!$B$2:$B$101,0),2)</f>
        <v>92</v>
      </c>
      <c r="L31" s="6" t="str">
        <f>INDEX(Governance!A31:C130,1,3)</f>
        <v>No</v>
      </c>
      <c r="M31" s="4"/>
      <c r="N31" s="7" t="s">
        <v>14</v>
      </c>
      <c r="O31" s="43">
        <v>68.375</v>
      </c>
      <c r="P31" s="4"/>
      <c r="Q31" s="4"/>
      <c r="R31" s="7" t="s">
        <v>16</v>
      </c>
      <c r="S31" s="47">
        <v>82532</v>
      </c>
      <c r="T31" s="47">
        <v>55013</v>
      </c>
      <c r="U31" s="47">
        <v>645940</v>
      </c>
      <c r="V31" s="4"/>
      <c r="W31" s="4"/>
      <c r="X31" s="4"/>
      <c r="Y31" s="4"/>
      <c r="Z31" s="8" t="s">
        <v>25</v>
      </c>
      <c r="AA31" s="14">
        <v>15</v>
      </c>
      <c r="AB31" s="4"/>
      <c r="AC31" s="4"/>
      <c r="AD31" s="4"/>
      <c r="AE31" s="4"/>
    </row>
    <row r="32" spans="1:31" x14ac:dyDescent="0.35">
      <c r="A32" s="6">
        <f>INDEX(Company_Master!$A$2:$A$101,MATCH(Company_Master!A32,Company_Master!$A$2:$A$101,0))</f>
        <v>31</v>
      </c>
      <c r="B32" s="6" t="str">
        <f>INDEX(Company_Master!$C$2:$C$101,MATCH(Company_Master!C32,Company_Master!$C$2:$C$101,0))</f>
        <v>Energy</v>
      </c>
      <c r="C32" s="6" t="str">
        <f>_xlfn.XLOOKUP(A32,A32:A131,Company_Master!D32:D131,0)</f>
        <v>UK</v>
      </c>
      <c r="D32" s="6">
        <f>INDEX(Company_Master!$A$2:$H$101,MATCH(Company_Master!F32,Company_Master!$F$2:$F$101,0),6)</f>
        <v>29747</v>
      </c>
      <c r="E32" s="6">
        <f>_xlfn.XLOOKUP(Governance!E32,Governance!$E$2:$E$101,Governance!$E$2:$E$101,0)</f>
        <v>62</v>
      </c>
      <c r="F32" s="6">
        <f>INDEX(Environmental!$A$2:$I$101,MATCH(Environmental!C32,Environmental!$C$2:$C$101,0),3)</f>
        <v>1310</v>
      </c>
      <c r="G32" s="6">
        <f>INDEX(Environmental!$A$2:$I$101,MATCH(Environmental!D32,Environmental!$D$2:$D$101,0),4)</f>
        <v>172</v>
      </c>
      <c r="H32" s="6">
        <f>INDEX(Environmental!$A$2:$I$101,MATCH(Environmental!E32,Environmental!$E$2:$E$101,0),5)</f>
        <v>27672</v>
      </c>
      <c r="I32" s="6">
        <f>INDEX(Environmental!$A$2:$I$101,MATCH(Environmental!G32,Environmental!$G$2:$G$101,0),7)</f>
        <v>14</v>
      </c>
      <c r="J32" s="6">
        <f>INDEX(Social!$A$2:$G$101,MATCH(Social!C32,Social!$C$2:$C$101,0),3)</f>
        <v>25</v>
      </c>
      <c r="K32" s="6">
        <f>INDEX(Governance!$A$2:$F$101,MATCH(Governance!B32,Governance!$B$2:$B$101,0),2)</f>
        <v>75</v>
      </c>
      <c r="L32" s="6" t="str">
        <f>INDEX(Governance!A32:C131,1,3)</f>
        <v>Yes</v>
      </c>
      <c r="M32" s="4"/>
      <c r="N32" s="7" t="s">
        <v>16</v>
      </c>
      <c r="O32" s="43">
        <v>67.409090909090907</v>
      </c>
      <c r="P32" s="4"/>
      <c r="Q32" s="4"/>
      <c r="R32" s="7" t="s">
        <v>22</v>
      </c>
      <c r="S32" s="47">
        <v>53030</v>
      </c>
      <c r="T32" s="47">
        <v>40773</v>
      </c>
      <c r="U32" s="47">
        <v>355936</v>
      </c>
      <c r="V32" s="4"/>
      <c r="W32" s="4"/>
      <c r="X32" s="4"/>
      <c r="Y32" s="4"/>
      <c r="Z32" s="8" t="s">
        <v>15</v>
      </c>
      <c r="AA32" s="14">
        <v>14</v>
      </c>
      <c r="AB32" s="4"/>
      <c r="AC32" s="4"/>
      <c r="AD32" s="4"/>
      <c r="AE32" s="4"/>
    </row>
    <row r="33" spans="1:31" x14ac:dyDescent="0.35">
      <c r="A33" s="6">
        <f>INDEX(Company_Master!$A$2:$A$101,MATCH(Company_Master!A33,Company_Master!$A$2:$A$101,0))</f>
        <v>32</v>
      </c>
      <c r="B33" s="6" t="str">
        <f>INDEX(Company_Master!$C$2:$C$101,MATCH(Company_Master!C33,Company_Master!$C$2:$C$101,0))</f>
        <v>Manufacturing</v>
      </c>
      <c r="C33" s="6" t="str">
        <f>_xlfn.XLOOKUP(A33,A33:A132,Company_Master!D33:D132,0)</f>
        <v>Germany</v>
      </c>
      <c r="D33" s="6">
        <f>INDEX(Company_Master!$A$2:$H$101,MATCH(Company_Master!F33,Company_Master!$F$2:$F$101,0),6)</f>
        <v>4234</v>
      </c>
      <c r="E33" s="6">
        <f>_xlfn.XLOOKUP(Governance!E33,Governance!$E$2:$E$101,Governance!$E$2:$E$101,0)</f>
        <v>40</v>
      </c>
      <c r="F33" s="6">
        <f>INDEX(Environmental!$A$2:$I$101,MATCH(Environmental!C33,Environmental!$C$2:$C$101,0),3)</f>
        <v>4562</v>
      </c>
      <c r="G33" s="6">
        <f>INDEX(Environmental!$A$2:$I$101,MATCH(Environmental!D33,Environmental!$D$2:$D$101,0),4)</f>
        <v>2026</v>
      </c>
      <c r="H33" s="6">
        <f>INDEX(Environmental!$A$2:$I$101,MATCH(Environmental!E33,Environmental!$E$2:$E$101,0),5)</f>
        <v>5930</v>
      </c>
      <c r="I33" s="6">
        <f>INDEX(Environmental!$A$2:$I$101,MATCH(Environmental!G33,Environmental!$G$2:$G$101,0),7)</f>
        <v>52</v>
      </c>
      <c r="J33" s="6">
        <f>INDEX(Social!$A$2:$G$101,MATCH(Social!C33,Social!$C$2:$C$101,0),3)</f>
        <v>48</v>
      </c>
      <c r="K33" s="6">
        <f>INDEX(Governance!$A$2:$F$101,MATCH(Governance!B33,Governance!$B$2:$B$101,0),2)</f>
        <v>56</v>
      </c>
      <c r="L33" s="6" t="str">
        <f>INDEX(Governance!A33:C132,1,3)</f>
        <v>Yes</v>
      </c>
      <c r="M33" s="4"/>
      <c r="N33" s="7" t="s">
        <v>22</v>
      </c>
      <c r="O33" s="43">
        <v>66.785714285714292</v>
      </c>
      <c r="P33" s="4"/>
      <c r="Q33" s="4"/>
      <c r="R33" s="7" t="s">
        <v>38</v>
      </c>
      <c r="S33" s="47">
        <v>73996</v>
      </c>
      <c r="T33" s="47">
        <v>38832</v>
      </c>
      <c r="U33" s="47">
        <v>343452</v>
      </c>
      <c r="V33" s="4"/>
      <c r="W33" s="4"/>
      <c r="X33" s="4"/>
      <c r="Y33" s="4"/>
      <c r="Z33" s="8" t="s">
        <v>20</v>
      </c>
      <c r="AA33" s="14">
        <v>20</v>
      </c>
      <c r="AB33" s="4"/>
      <c r="AC33" s="4"/>
      <c r="AD33" s="4"/>
      <c r="AE33" s="4"/>
    </row>
    <row r="34" spans="1:31" x14ac:dyDescent="0.35">
      <c r="A34" s="6">
        <f>INDEX(Company_Master!$A$2:$A$101,MATCH(Company_Master!A34,Company_Master!$A$2:$A$101,0))</f>
        <v>33</v>
      </c>
      <c r="B34" s="6" t="str">
        <f>INDEX(Company_Master!$C$2:$C$101,MATCH(Company_Master!C34,Company_Master!$C$2:$C$101,0))</f>
        <v>Manufacturing</v>
      </c>
      <c r="C34" s="6" t="str">
        <f>_xlfn.XLOOKUP(A34,A34:A133,Company_Master!D34:D133,0)</f>
        <v>Australia</v>
      </c>
      <c r="D34" s="6">
        <f>INDEX(Company_Master!$A$2:$H$101,MATCH(Company_Master!F34,Company_Master!$F$2:$F$101,0),6)</f>
        <v>3573</v>
      </c>
      <c r="E34" s="6">
        <f>_xlfn.XLOOKUP(Governance!E34,Governance!$E$2:$E$101,Governance!$E$2:$E$101,0)</f>
        <v>93</v>
      </c>
      <c r="F34" s="6">
        <f>INDEX(Environmental!$A$2:$I$101,MATCH(Environmental!C34,Environmental!$C$2:$C$101,0),3)</f>
        <v>2155</v>
      </c>
      <c r="G34" s="6">
        <f>INDEX(Environmental!$A$2:$I$101,MATCH(Environmental!D34,Environmental!$D$2:$D$101,0),4)</f>
        <v>902</v>
      </c>
      <c r="H34" s="6">
        <f>INDEX(Environmental!$A$2:$I$101,MATCH(Environmental!E34,Environmental!$E$2:$E$101,0),5)</f>
        <v>33704</v>
      </c>
      <c r="I34" s="6">
        <f>INDEX(Environmental!$A$2:$I$101,MATCH(Environmental!G34,Environmental!$G$2:$G$101,0),7)</f>
        <v>99</v>
      </c>
      <c r="J34" s="6">
        <f>INDEX(Social!$A$2:$G$101,MATCH(Social!C34,Social!$C$2:$C$101,0),3)</f>
        <v>28</v>
      </c>
      <c r="K34" s="6">
        <f>INDEX(Governance!$A$2:$F$101,MATCH(Governance!B34,Governance!$B$2:$B$101,0),2)</f>
        <v>59</v>
      </c>
      <c r="L34" s="6" t="str">
        <f>INDEX(Governance!A34:C133,1,3)</f>
        <v>Yes</v>
      </c>
      <c r="M34" s="4"/>
      <c r="N34" s="7" t="s">
        <v>38</v>
      </c>
      <c r="O34" s="43">
        <v>61.428571428571431</v>
      </c>
      <c r="P34" s="4"/>
      <c r="Q34" s="4"/>
      <c r="R34" s="10" t="s">
        <v>171</v>
      </c>
      <c r="S34" s="48">
        <v>389220</v>
      </c>
      <c r="T34" s="48">
        <v>271376</v>
      </c>
      <c r="U34" s="48">
        <v>2710024</v>
      </c>
      <c r="V34" s="4"/>
      <c r="W34" s="4"/>
      <c r="X34" s="4"/>
      <c r="Y34" s="4"/>
      <c r="Z34" s="10" t="s">
        <v>171</v>
      </c>
      <c r="AA34" s="9">
        <v>100</v>
      </c>
      <c r="AB34" s="4"/>
      <c r="AC34" s="4"/>
      <c r="AD34" s="4"/>
      <c r="AE34" s="4"/>
    </row>
    <row r="35" spans="1:31" x14ac:dyDescent="0.35">
      <c r="A35" s="6">
        <f>INDEX(Company_Master!$A$2:$A$101,MATCH(Company_Master!A35,Company_Master!$A$2:$A$101,0))</f>
        <v>34</v>
      </c>
      <c r="B35" s="6" t="str">
        <f>INDEX(Company_Master!$C$2:$C$101,MATCH(Company_Master!C35,Company_Master!$C$2:$C$101,0))</f>
        <v>Energy</v>
      </c>
      <c r="C35" s="6" t="str">
        <f>_xlfn.XLOOKUP(A35,A35:A134,Company_Master!D35:D134,0)</f>
        <v>USA</v>
      </c>
      <c r="D35" s="6">
        <f>INDEX(Company_Master!$A$2:$H$101,MATCH(Company_Master!F35,Company_Master!$F$2:$F$101,0),6)</f>
        <v>19665</v>
      </c>
      <c r="E35" s="6">
        <f>_xlfn.XLOOKUP(Governance!E35,Governance!$E$2:$E$101,Governance!$E$2:$E$101,0)</f>
        <v>55</v>
      </c>
      <c r="F35" s="6">
        <f>INDEX(Environmental!$A$2:$I$101,MATCH(Environmental!C35,Environmental!$C$2:$C$101,0),3)</f>
        <v>5613</v>
      </c>
      <c r="G35" s="6">
        <f>INDEX(Environmental!$A$2:$I$101,MATCH(Environmental!D35,Environmental!$D$2:$D$101,0),4)</f>
        <v>2888</v>
      </c>
      <c r="H35" s="6">
        <f>INDEX(Environmental!$A$2:$I$101,MATCH(Environmental!E35,Environmental!$E$2:$E$101,0),5)</f>
        <v>12308</v>
      </c>
      <c r="I35" s="6">
        <f>INDEX(Environmental!$A$2:$I$101,MATCH(Environmental!G35,Environmental!$G$2:$G$101,0),7)</f>
        <v>80</v>
      </c>
      <c r="J35" s="6">
        <f>INDEX(Social!$A$2:$G$101,MATCH(Social!C35,Social!$C$2:$C$101,0),3)</f>
        <v>21</v>
      </c>
      <c r="K35" s="6">
        <f>INDEX(Governance!$A$2:$F$101,MATCH(Governance!B35,Governance!$B$2:$B$101,0),2)</f>
        <v>70</v>
      </c>
      <c r="L35" s="6" t="str">
        <f>INDEX(Governance!A35:C134,1,3)</f>
        <v>Yes</v>
      </c>
      <c r="M35" s="4"/>
      <c r="N35" s="4"/>
      <c r="O35" s="4"/>
      <c r="P35" s="4"/>
      <c r="Q35" s="4"/>
      <c r="R35" s="4"/>
      <c r="S35" s="4"/>
      <c r="T35" s="4"/>
      <c r="U35" s="4"/>
      <c r="V35" s="4"/>
      <c r="W35" s="4"/>
      <c r="X35" s="4"/>
      <c r="Y35" s="4"/>
      <c r="Z35" s="4"/>
      <c r="AA35" s="4"/>
      <c r="AB35" s="4"/>
      <c r="AC35" s="4"/>
      <c r="AD35" s="4"/>
      <c r="AE35" s="4"/>
    </row>
    <row r="36" spans="1:31" x14ac:dyDescent="0.35">
      <c r="A36" s="6">
        <f>INDEX(Company_Master!$A$2:$A$101,MATCH(Company_Master!A36,Company_Master!$A$2:$A$101,0))</f>
        <v>35</v>
      </c>
      <c r="B36" s="6" t="str">
        <f>INDEX(Company_Master!$C$2:$C$101,MATCH(Company_Master!C36,Company_Master!$C$2:$C$101,0))</f>
        <v>Manufacturing</v>
      </c>
      <c r="C36" s="6" t="str">
        <f>_xlfn.XLOOKUP(A36,A36:A135,Company_Master!D36:D135,0)</f>
        <v>UK</v>
      </c>
      <c r="D36" s="6">
        <f>INDEX(Company_Master!$A$2:$H$101,MATCH(Company_Master!F36,Company_Master!$F$2:$F$101,0),6)</f>
        <v>6967</v>
      </c>
      <c r="E36" s="6">
        <f>_xlfn.XLOOKUP(Governance!E36,Governance!$E$2:$E$101,Governance!$E$2:$E$101,0)</f>
        <v>89</v>
      </c>
      <c r="F36" s="6">
        <f>INDEX(Environmental!$A$2:$I$101,MATCH(Environmental!C36,Environmental!$C$2:$C$101,0),3)</f>
        <v>2454</v>
      </c>
      <c r="G36" s="6">
        <f>INDEX(Environmental!$A$2:$I$101,MATCH(Environmental!D36,Environmental!$D$2:$D$101,0),4)</f>
        <v>3854</v>
      </c>
      <c r="H36" s="6">
        <f>INDEX(Environmental!$A$2:$I$101,MATCH(Environmental!E36,Environmental!$E$2:$E$101,0),5)</f>
        <v>1379</v>
      </c>
      <c r="I36" s="6">
        <f>INDEX(Environmental!$A$2:$I$101,MATCH(Environmental!G36,Environmental!$G$2:$G$101,0),7)</f>
        <v>40</v>
      </c>
      <c r="J36" s="6">
        <f>INDEX(Social!$A$2:$G$101,MATCH(Social!C36,Social!$C$2:$C$101,0),3)</f>
        <v>23</v>
      </c>
      <c r="K36" s="6">
        <f>INDEX(Governance!$A$2:$F$101,MATCH(Governance!B36,Governance!$B$2:$B$101,0),2)</f>
        <v>87</v>
      </c>
      <c r="L36" s="6" t="str">
        <f>INDEX(Governance!A36:C135,1,3)</f>
        <v>Yes</v>
      </c>
      <c r="M36" s="4"/>
      <c r="N36" s="4"/>
      <c r="O36" s="4"/>
      <c r="P36" s="4"/>
      <c r="Q36" s="4"/>
      <c r="R36" s="4"/>
      <c r="S36" s="4"/>
      <c r="T36" s="4"/>
      <c r="U36" s="4"/>
      <c r="V36" s="4"/>
      <c r="W36" s="4"/>
      <c r="X36" s="4"/>
      <c r="Y36" s="4"/>
      <c r="Z36" s="4"/>
      <c r="AA36" s="4"/>
      <c r="AB36" s="4"/>
      <c r="AC36" s="4"/>
      <c r="AD36" s="4"/>
      <c r="AE36" s="4"/>
    </row>
    <row r="37" spans="1:31" x14ac:dyDescent="0.35">
      <c r="A37" s="6">
        <f>INDEX(Company_Master!$A$2:$A$101,MATCH(Company_Master!A37,Company_Master!$A$2:$A$101,0))</f>
        <v>36</v>
      </c>
      <c r="B37" s="6" t="str">
        <f>INDEX(Company_Master!$C$2:$C$101,MATCH(Company_Master!C37,Company_Master!$C$2:$C$101,0))</f>
        <v>Healthcare</v>
      </c>
      <c r="C37" s="6" t="str">
        <f>_xlfn.XLOOKUP(A37,A37:A136,Company_Master!D37:D136,0)</f>
        <v>USA</v>
      </c>
      <c r="D37" s="6">
        <f>INDEX(Company_Master!$A$2:$H$101,MATCH(Company_Master!F37,Company_Master!$F$2:$F$101,0),6)</f>
        <v>22933</v>
      </c>
      <c r="E37" s="6">
        <f>_xlfn.XLOOKUP(Governance!E37,Governance!$E$2:$E$101,Governance!$E$2:$E$101,0)</f>
        <v>89</v>
      </c>
      <c r="F37" s="6">
        <f>INDEX(Environmental!$A$2:$I$101,MATCH(Environmental!C37,Environmental!$C$2:$C$101,0),3)</f>
        <v>2882</v>
      </c>
      <c r="G37" s="6">
        <f>INDEX(Environmental!$A$2:$I$101,MATCH(Environmental!D37,Environmental!$D$2:$D$101,0),4)</f>
        <v>323</v>
      </c>
      <c r="H37" s="6">
        <f>INDEX(Environmental!$A$2:$I$101,MATCH(Environmental!E37,Environmental!$E$2:$E$101,0),5)</f>
        <v>37089</v>
      </c>
      <c r="I37" s="6">
        <f>INDEX(Environmental!$A$2:$I$101,MATCH(Environmental!G37,Environmental!$G$2:$G$101,0),7)</f>
        <v>9</v>
      </c>
      <c r="J37" s="6">
        <f>INDEX(Social!$A$2:$G$101,MATCH(Social!C37,Social!$C$2:$C$101,0),3)</f>
        <v>59</v>
      </c>
      <c r="K37" s="6">
        <f>INDEX(Governance!$A$2:$F$101,MATCH(Governance!B37,Governance!$B$2:$B$101,0),2)</f>
        <v>48</v>
      </c>
      <c r="L37" s="6" t="str">
        <f>INDEX(Governance!A37:C136,1,3)</f>
        <v>Yes</v>
      </c>
      <c r="M37" s="4"/>
      <c r="P37" s="4"/>
      <c r="X37" s="4"/>
      <c r="AB37" s="4"/>
      <c r="AC37" s="4"/>
      <c r="AD37" s="4"/>
      <c r="AE37" s="4"/>
    </row>
    <row r="38" spans="1:31" x14ac:dyDescent="0.35">
      <c r="A38" s="6">
        <f>INDEX(Company_Master!$A$2:$A$101,MATCH(Company_Master!A38,Company_Master!$A$2:$A$101,0))</f>
        <v>37</v>
      </c>
      <c r="B38" s="6" t="str">
        <f>INDEX(Company_Master!$C$2:$C$101,MATCH(Company_Master!C38,Company_Master!$C$2:$C$101,0))</f>
        <v>Healthcare</v>
      </c>
      <c r="C38" s="6" t="str">
        <f>_xlfn.XLOOKUP(A38,A38:A137,Company_Master!D38:D137,0)</f>
        <v>Canada</v>
      </c>
      <c r="D38" s="6">
        <f>INDEX(Company_Master!$A$2:$H$101,MATCH(Company_Master!F38,Company_Master!$F$2:$F$101,0),6)</f>
        <v>12728</v>
      </c>
      <c r="E38" s="6">
        <f>_xlfn.XLOOKUP(Governance!E38,Governance!$E$2:$E$101,Governance!$E$2:$E$101,0)</f>
        <v>89</v>
      </c>
      <c r="F38" s="6">
        <f>INDEX(Environmental!$A$2:$I$101,MATCH(Environmental!C38,Environmental!$C$2:$C$101,0),3)</f>
        <v>2821</v>
      </c>
      <c r="G38" s="6">
        <f>INDEX(Environmental!$A$2:$I$101,MATCH(Environmental!D38,Environmental!$D$2:$D$101,0),4)</f>
        <v>799</v>
      </c>
      <c r="H38" s="6">
        <f>INDEX(Environmental!$A$2:$I$101,MATCH(Environmental!E38,Environmental!$E$2:$E$101,0),5)</f>
        <v>40063</v>
      </c>
      <c r="I38" s="6">
        <f>INDEX(Environmental!$A$2:$I$101,MATCH(Environmental!G38,Environmental!$G$2:$G$101,0),7)</f>
        <v>73</v>
      </c>
      <c r="J38" s="6">
        <f>INDEX(Social!$A$2:$G$101,MATCH(Social!C38,Social!$C$2:$C$101,0),3)</f>
        <v>21</v>
      </c>
      <c r="K38" s="6">
        <f>INDEX(Governance!$A$2:$F$101,MATCH(Governance!B38,Governance!$B$2:$B$101,0),2)</f>
        <v>78</v>
      </c>
      <c r="L38" s="6" t="str">
        <f>INDEX(Governance!A38:C137,1,3)</f>
        <v>Yes</v>
      </c>
      <c r="M38" s="4"/>
      <c r="P38" s="4"/>
      <c r="X38" s="4"/>
      <c r="AB38" s="4"/>
      <c r="AC38" s="4"/>
      <c r="AD38" s="4"/>
      <c r="AE38" s="4"/>
    </row>
    <row r="39" spans="1:31" x14ac:dyDescent="0.35">
      <c r="A39" s="6">
        <f>INDEX(Company_Master!$A$2:$A$101,MATCH(Company_Master!A39,Company_Master!$A$2:$A$101,0))</f>
        <v>38</v>
      </c>
      <c r="B39" s="6" t="str">
        <f>INDEX(Company_Master!$C$2:$C$101,MATCH(Company_Master!C39,Company_Master!$C$2:$C$101,0))</f>
        <v>Retail</v>
      </c>
      <c r="C39" s="6" t="str">
        <f>_xlfn.XLOOKUP(A39,A39:A138,Company_Master!D39:D138,0)</f>
        <v>USA</v>
      </c>
      <c r="D39" s="6">
        <f>INDEX(Company_Master!$A$2:$H$101,MATCH(Company_Master!F39,Company_Master!$F$2:$F$101,0),6)</f>
        <v>10965</v>
      </c>
      <c r="E39" s="6">
        <f>_xlfn.XLOOKUP(Governance!E39,Governance!$E$2:$E$101,Governance!$E$2:$E$101,0)</f>
        <v>51</v>
      </c>
      <c r="F39" s="6">
        <f>INDEX(Environmental!$A$2:$I$101,MATCH(Environmental!C39,Environmental!$C$2:$C$101,0),3)</f>
        <v>3403</v>
      </c>
      <c r="G39" s="6">
        <f>INDEX(Environmental!$A$2:$I$101,MATCH(Environmental!D39,Environmental!$D$2:$D$101,0),4)</f>
        <v>230</v>
      </c>
      <c r="H39" s="6">
        <f>INDEX(Environmental!$A$2:$I$101,MATCH(Environmental!E39,Environmental!$E$2:$E$101,0),5)</f>
        <v>23236</v>
      </c>
      <c r="I39" s="6">
        <f>INDEX(Environmental!$A$2:$I$101,MATCH(Environmental!G39,Environmental!$G$2:$G$101,0),7)</f>
        <v>42</v>
      </c>
      <c r="J39" s="6">
        <f>INDEX(Social!$A$2:$G$101,MATCH(Social!C39,Social!$C$2:$C$101,0),3)</f>
        <v>38</v>
      </c>
      <c r="K39" s="6">
        <f>INDEX(Governance!$A$2:$F$101,MATCH(Governance!B39,Governance!$B$2:$B$101,0),2)</f>
        <v>86</v>
      </c>
      <c r="L39" s="6" t="str">
        <f>INDEX(Governance!A39:C138,1,3)</f>
        <v>No</v>
      </c>
      <c r="M39" s="4"/>
      <c r="P39" s="4"/>
      <c r="X39" s="4"/>
      <c r="AB39" s="4"/>
      <c r="AC39" s="4"/>
      <c r="AD39" s="4"/>
      <c r="AE39" s="4"/>
    </row>
    <row r="40" spans="1:31" x14ac:dyDescent="0.35">
      <c r="A40" s="6">
        <f>INDEX(Company_Master!$A$2:$A$101,MATCH(Company_Master!A40,Company_Master!$A$2:$A$101,0))</f>
        <v>39</v>
      </c>
      <c r="B40" s="6" t="str">
        <f>INDEX(Company_Master!$C$2:$C$101,MATCH(Company_Master!C40,Company_Master!$C$2:$C$101,0))</f>
        <v>Healthcare</v>
      </c>
      <c r="C40" s="6" t="str">
        <f>_xlfn.XLOOKUP(A40,A40:A139,Company_Master!D40:D139,0)</f>
        <v>UK</v>
      </c>
      <c r="D40" s="6">
        <f>INDEX(Company_Master!$A$2:$H$101,MATCH(Company_Master!F40,Company_Master!$F$2:$F$101,0),6)</f>
        <v>5827</v>
      </c>
      <c r="E40" s="6">
        <f>_xlfn.XLOOKUP(Governance!E40,Governance!$E$2:$E$101,Governance!$E$2:$E$101,0)</f>
        <v>49</v>
      </c>
      <c r="F40" s="6">
        <f>INDEX(Environmental!$A$2:$I$101,MATCH(Environmental!C40,Environmental!$C$2:$C$101,0),3)</f>
        <v>5325</v>
      </c>
      <c r="G40" s="6">
        <f>INDEX(Environmental!$A$2:$I$101,MATCH(Environmental!D40,Environmental!$D$2:$D$101,0),4)</f>
        <v>3308</v>
      </c>
      <c r="H40" s="6">
        <f>INDEX(Environmental!$A$2:$I$101,MATCH(Environmental!E40,Environmental!$E$2:$E$101,0),5)</f>
        <v>42555</v>
      </c>
      <c r="I40" s="6">
        <f>INDEX(Environmental!$A$2:$I$101,MATCH(Environmental!G40,Environmental!$G$2:$G$101,0),7)</f>
        <v>78</v>
      </c>
      <c r="J40" s="6">
        <f>INDEX(Social!$A$2:$G$101,MATCH(Social!C40,Social!$C$2:$C$101,0),3)</f>
        <v>21</v>
      </c>
      <c r="K40" s="6">
        <f>INDEX(Governance!$A$2:$F$101,MATCH(Governance!B40,Governance!$B$2:$B$101,0),2)</f>
        <v>66</v>
      </c>
      <c r="L40" s="6" t="str">
        <f>INDEX(Governance!A40:C139,1,3)</f>
        <v>No</v>
      </c>
      <c r="M40" s="4"/>
      <c r="P40" s="4"/>
      <c r="X40" s="4"/>
      <c r="AB40" s="4"/>
      <c r="AC40" s="4"/>
      <c r="AD40" s="4"/>
      <c r="AE40" s="4"/>
    </row>
    <row r="41" spans="1:31" x14ac:dyDescent="0.35">
      <c r="A41" s="6">
        <f>INDEX(Company_Master!$A$2:$A$101,MATCH(Company_Master!A41,Company_Master!$A$2:$A$101,0))</f>
        <v>40</v>
      </c>
      <c r="B41" s="6" t="str">
        <f>INDEX(Company_Master!$C$2:$C$101,MATCH(Company_Master!C41,Company_Master!$C$2:$C$101,0))</f>
        <v>Manufacturing</v>
      </c>
      <c r="C41" s="6" t="str">
        <f>_xlfn.XLOOKUP(A41,A41:A140,Company_Master!D41:D140,0)</f>
        <v>UK</v>
      </c>
      <c r="D41" s="6">
        <f>INDEX(Company_Master!$A$2:$H$101,MATCH(Company_Master!F41,Company_Master!$F$2:$F$101,0),6)</f>
        <v>28969</v>
      </c>
      <c r="E41" s="6">
        <f>_xlfn.XLOOKUP(Governance!E41,Governance!$E$2:$E$101,Governance!$E$2:$E$101,0)</f>
        <v>41</v>
      </c>
      <c r="F41" s="6">
        <f>INDEX(Environmental!$A$2:$I$101,MATCH(Environmental!C41,Environmental!$C$2:$C$101,0),3)</f>
        <v>4720</v>
      </c>
      <c r="G41" s="6">
        <f>INDEX(Environmental!$A$2:$I$101,MATCH(Environmental!D41,Environmental!$D$2:$D$101,0),4)</f>
        <v>1037</v>
      </c>
      <c r="H41" s="6">
        <f>INDEX(Environmental!$A$2:$I$101,MATCH(Environmental!E41,Environmental!$E$2:$E$101,0),5)</f>
        <v>43538</v>
      </c>
      <c r="I41" s="6">
        <f>INDEX(Environmental!$A$2:$I$101,MATCH(Environmental!G41,Environmental!$G$2:$G$101,0),7)</f>
        <v>33</v>
      </c>
      <c r="J41" s="6">
        <f>INDEX(Social!$A$2:$G$101,MATCH(Social!C41,Social!$C$2:$C$101,0),3)</f>
        <v>50</v>
      </c>
      <c r="K41" s="6">
        <f>INDEX(Governance!$A$2:$F$101,MATCH(Governance!B41,Governance!$B$2:$B$101,0),2)</f>
        <v>45</v>
      </c>
      <c r="L41" s="6" t="str">
        <f>INDEX(Governance!A41:C140,1,3)</f>
        <v>Yes</v>
      </c>
      <c r="M41" s="4"/>
      <c r="P41" s="4"/>
      <c r="X41" s="4"/>
      <c r="AB41" s="4"/>
      <c r="AC41" s="4"/>
      <c r="AD41" s="4"/>
      <c r="AE41" s="4"/>
    </row>
    <row r="42" spans="1:31" x14ac:dyDescent="0.35">
      <c r="A42" s="6">
        <f>INDEX(Company_Master!$A$2:$A$101,MATCH(Company_Master!A42,Company_Master!$A$2:$A$101,0))</f>
        <v>41</v>
      </c>
      <c r="B42" s="6" t="str">
        <f>INDEX(Company_Master!$C$2:$C$101,MATCH(Company_Master!C42,Company_Master!$C$2:$C$101,0))</f>
        <v>Retail</v>
      </c>
      <c r="C42" s="6" t="str">
        <f>_xlfn.XLOOKUP(A42,A42:A141,Company_Master!D42:D141,0)</f>
        <v>USA</v>
      </c>
      <c r="D42" s="6">
        <f>INDEX(Company_Master!$A$2:$H$101,MATCH(Company_Master!F42,Company_Master!$F$2:$F$101,0),6)</f>
        <v>20416</v>
      </c>
      <c r="E42" s="6">
        <f>_xlfn.XLOOKUP(Governance!E42,Governance!$E$2:$E$101,Governance!$E$2:$E$101,0)</f>
        <v>48</v>
      </c>
      <c r="F42" s="6">
        <f>INDEX(Environmental!$A$2:$I$101,MATCH(Environmental!C42,Environmental!$C$2:$C$101,0),3)</f>
        <v>1029</v>
      </c>
      <c r="G42" s="6">
        <f>INDEX(Environmental!$A$2:$I$101,MATCH(Environmental!D42,Environmental!$D$2:$D$101,0),4)</f>
        <v>2806</v>
      </c>
      <c r="H42" s="6">
        <f>INDEX(Environmental!$A$2:$I$101,MATCH(Environmental!E42,Environmental!$E$2:$E$101,0),5)</f>
        <v>14375</v>
      </c>
      <c r="I42" s="6">
        <f>INDEX(Environmental!$A$2:$I$101,MATCH(Environmental!G42,Environmental!$G$2:$G$101,0),7)</f>
        <v>42</v>
      </c>
      <c r="J42" s="6">
        <f>INDEX(Social!$A$2:$G$101,MATCH(Social!C42,Social!$C$2:$C$101,0),3)</f>
        <v>36</v>
      </c>
      <c r="K42" s="6">
        <f>INDEX(Governance!$A$2:$F$101,MATCH(Governance!B42,Governance!$B$2:$B$101,0),2)</f>
        <v>90</v>
      </c>
      <c r="L42" s="6" t="str">
        <f>INDEX(Governance!A42:C141,1,3)</f>
        <v>No</v>
      </c>
      <c r="M42" s="4"/>
      <c r="P42" s="4"/>
      <c r="X42" s="4"/>
      <c r="AB42" s="4"/>
      <c r="AC42" s="4"/>
      <c r="AD42" s="4"/>
      <c r="AE42" s="4"/>
    </row>
    <row r="43" spans="1:31" x14ac:dyDescent="0.35">
      <c r="A43" s="6">
        <f>INDEX(Company_Master!$A$2:$A$101,MATCH(Company_Master!A43,Company_Master!$A$2:$A$101,0))</f>
        <v>42</v>
      </c>
      <c r="B43" s="6" t="str">
        <f>INDEX(Company_Master!$C$2:$C$101,MATCH(Company_Master!C43,Company_Master!$C$2:$C$101,0))</f>
        <v>Retail</v>
      </c>
      <c r="C43" s="6" t="str">
        <f>_xlfn.XLOOKUP(A43,A43:A142,Company_Master!D43:D142,0)</f>
        <v>USA</v>
      </c>
      <c r="D43" s="6">
        <f>INDEX(Company_Master!$A$2:$H$101,MATCH(Company_Master!F43,Company_Master!$F$2:$F$101,0),6)</f>
        <v>7331</v>
      </c>
      <c r="E43" s="6">
        <f>_xlfn.XLOOKUP(Governance!E43,Governance!$E$2:$E$101,Governance!$E$2:$E$101,0)</f>
        <v>70</v>
      </c>
      <c r="F43" s="6">
        <f>INDEX(Environmental!$A$2:$I$101,MATCH(Environmental!C43,Environmental!$C$2:$C$101,0),3)</f>
        <v>3319</v>
      </c>
      <c r="G43" s="6">
        <f>INDEX(Environmental!$A$2:$I$101,MATCH(Environmental!D43,Environmental!$D$2:$D$101,0),4)</f>
        <v>3634</v>
      </c>
      <c r="H43" s="6">
        <f>INDEX(Environmental!$A$2:$I$101,MATCH(Environmental!E43,Environmental!$E$2:$E$101,0),5)</f>
        <v>1459</v>
      </c>
      <c r="I43" s="6">
        <f>INDEX(Environmental!$A$2:$I$101,MATCH(Environmental!G43,Environmental!$G$2:$G$101,0),7)</f>
        <v>29</v>
      </c>
      <c r="J43" s="6">
        <f>INDEX(Social!$A$2:$G$101,MATCH(Social!C43,Social!$C$2:$C$101,0),3)</f>
        <v>57</v>
      </c>
      <c r="K43" s="6">
        <f>INDEX(Governance!$A$2:$F$101,MATCH(Governance!B43,Governance!$B$2:$B$101,0),2)</f>
        <v>47</v>
      </c>
      <c r="L43" s="6" t="str">
        <f>INDEX(Governance!A43:C142,1,3)</f>
        <v>No</v>
      </c>
      <c r="M43" s="4"/>
      <c r="P43" s="4"/>
      <c r="X43" s="4"/>
      <c r="AB43" s="4"/>
      <c r="AC43" s="4"/>
      <c r="AD43" s="4"/>
      <c r="AE43" s="4"/>
    </row>
    <row r="44" spans="1:31" x14ac:dyDescent="0.35">
      <c r="A44" s="6">
        <f>INDEX(Company_Master!$A$2:$A$101,MATCH(Company_Master!A44,Company_Master!$A$2:$A$101,0))</f>
        <v>43</v>
      </c>
      <c r="B44" s="6" t="str">
        <f>INDEX(Company_Master!$C$2:$C$101,MATCH(Company_Master!C44,Company_Master!$C$2:$C$101,0))</f>
        <v>Finance</v>
      </c>
      <c r="C44" s="6" t="str">
        <f>_xlfn.XLOOKUP(A44,A44:A143,Company_Master!D44:D143,0)</f>
        <v>Canada</v>
      </c>
      <c r="D44" s="6">
        <f>INDEX(Company_Master!$A$2:$H$101,MATCH(Company_Master!F44,Company_Master!$F$2:$F$101,0),6)</f>
        <v>9009</v>
      </c>
      <c r="E44" s="6">
        <f>_xlfn.XLOOKUP(Governance!E44,Governance!$E$2:$E$101,Governance!$E$2:$E$101,0)</f>
        <v>81</v>
      </c>
      <c r="F44" s="6">
        <f>INDEX(Environmental!$A$2:$I$101,MATCH(Environmental!C44,Environmental!$C$2:$C$101,0),3)</f>
        <v>4152</v>
      </c>
      <c r="G44" s="6">
        <f>INDEX(Environmental!$A$2:$I$101,MATCH(Environmental!D44,Environmental!$D$2:$D$101,0),4)</f>
        <v>1997</v>
      </c>
      <c r="H44" s="6">
        <f>INDEX(Environmental!$A$2:$I$101,MATCH(Environmental!E44,Environmental!$E$2:$E$101,0),5)</f>
        <v>5458</v>
      </c>
      <c r="I44" s="6">
        <f>INDEX(Environmental!$A$2:$I$101,MATCH(Environmental!G44,Environmental!$G$2:$G$101,0),7)</f>
        <v>94</v>
      </c>
      <c r="J44" s="6">
        <f>INDEX(Social!$A$2:$G$101,MATCH(Social!C44,Social!$C$2:$C$101,0),3)</f>
        <v>40</v>
      </c>
      <c r="K44" s="6">
        <f>INDEX(Governance!$A$2:$F$101,MATCH(Governance!B44,Governance!$B$2:$B$101,0),2)</f>
        <v>62</v>
      </c>
      <c r="L44" s="6" t="str">
        <f>INDEX(Governance!A44:C143,1,3)</f>
        <v>No</v>
      </c>
      <c r="M44" s="4"/>
      <c r="P44" s="4"/>
      <c r="X44" s="4"/>
      <c r="AB44" s="4"/>
      <c r="AC44" s="4"/>
      <c r="AD44" s="4"/>
      <c r="AE44" s="4"/>
    </row>
    <row r="45" spans="1:31" x14ac:dyDescent="0.35">
      <c r="A45" s="6">
        <f>INDEX(Company_Master!$A$2:$A$101,MATCH(Company_Master!A45,Company_Master!$A$2:$A$101,0))</f>
        <v>44</v>
      </c>
      <c r="B45" s="6" t="str">
        <f>INDEX(Company_Master!$C$2:$C$101,MATCH(Company_Master!C45,Company_Master!$C$2:$C$101,0))</f>
        <v>Manufacturing</v>
      </c>
      <c r="C45" s="6" t="str">
        <f>_xlfn.XLOOKUP(A45,A45:A144,Company_Master!D45:D144,0)</f>
        <v>Japan</v>
      </c>
      <c r="D45" s="6">
        <f>INDEX(Company_Master!$A$2:$H$101,MATCH(Company_Master!F45,Company_Master!$F$2:$F$101,0),6)</f>
        <v>223</v>
      </c>
      <c r="E45" s="6">
        <f>_xlfn.XLOOKUP(Governance!E45,Governance!$E$2:$E$101,Governance!$E$2:$E$101,0)</f>
        <v>71</v>
      </c>
      <c r="F45" s="6">
        <f>INDEX(Environmental!$A$2:$I$101,MATCH(Environmental!C45,Environmental!$C$2:$C$101,0),3)</f>
        <v>4979</v>
      </c>
      <c r="G45" s="6">
        <f>INDEX(Environmental!$A$2:$I$101,MATCH(Environmental!D45,Environmental!$D$2:$D$101,0),4)</f>
        <v>1384</v>
      </c>
      <c r="H45" s="6">
        <f>INDEX(Environmental!$A$2:$I$101,MATCH(Environmental!E45,Environmental!$E$2:$E$101,0),5)</f>
        <v>29522</v>
      </c>
      <c r="I45" s="6">
        <f>INDEX(Environmental!$A$2:$I$101,MATCH(Environmental!G45,Environmental!$G$2:$G$101,0),7)</f>
        <v>54</v>
      </c>
      <c r="J45" s="6">
        <f>INDEX(Social!$A$2:$G$101,MATCH(Social!C45,Social!$C$2:$C$101,0),3)</f>
        <v>13</v>
      </c>
      <c r="K45" s="6">
        <f>INDEX(Governance!$A$2:$F$101,MATCH(Governance!B45,Governance!$B$2:$B$101,0),2)</f>
        <v>95</v>
      </c>
      <c r="L45" s="6" t="str">
        <f>INDEX(Governance!A45:C144,1,3)</f>
        <v>No</v>
      </c>
      <c r="M45" s="4"/>
      <c r="P45" s="4"/>
      <c r="X45" s="4"/>
      <c r="AB45" s="4"/>
      <c r="AC45" s="4"/>
      <c r="AD45" s="4"/>
      <c r="AE45" s="4"/>
    </row>
    <row r="46" spans="1:31" x14ac:dyDescent="0.35">
      <c r="A46" s="6">
        <f>INDEX(Company_Master!$A$2:$A$101,MATCH(Company_Master!A46,Company_Master!$A$2:$A$101,0))</f>
        <v>45</v>
      </c>
      <c r="B46" s="6" t="str">
        <f>INDEX(Company_Master!$C$2:$C$101,MATCH(Company_Master!C46,Company_Master!$C$2:$C$101,0))</f>
        <v>Finance</v>
      </c>
      <c r="C46" s="6" t="str">
        <f>_xlfn.XLOOKUP(A46,A46:A145,Company_Master!D46:D145,0)</f>
        <v>Germany</v>
      </c>
      <c r="D46" s="6">
        <f>INDEX(Company_Master!$A$2:$H$101,MATCH(Company_Master!F46,Company_Master!$F$2:$F$101,0),6)</f>
        <v>24302</v>
      </c>
      <c r="E46" s="6">
        <f>_xlfn.XLOOKUP(Governance!E46,Governance!$E$2:$E$101,Governance!$E$2:$E$101,0)</f>
        <v>54</v>
      </c>
      <c r="F46" s="6">
        <f>INDEX(Environmental!$A$2:$I$101,MATCH(Environmental!C46,Environmental!$C$2:$C$101,0),3)</f>
        <v>7829</v>
      </c>
      <c r="G46" s="6">
        <f>INDEX(Environmental!$A$2:$I$101,MATCH(Environmental!D46,Environmental!$D$2:$D$101,0),4)</f>
        <v>4214</v>
      </c>
      <c r="H46" s="6">
        <f>INDEX(Environmental!$A$2:$I$101,MATCH(Environmental!E46,Environmental!$E$2:$E$101,0),5)</f>
        <v>20397</v>
      </c>
      <c r="I46" s="6">
        <f>INDEX(Environmental!$A$2:$I$101,MATCH(Environmental!G46,Environmental!$G$2:$G$101,0),7)</f>
        <v>9</v>
      </c>
      <c r="J46" s="6">
        <f>INDEX(Social!$A$2:$G$101,MATCH(Social!C46,Social!$C$2:$C$101,0),3)</f>
        <v>48</v>
      </c>
      <c r="K46" s="6">
        <f>INDEX(Governance!$A$2:$F$101,MATCH(Governance!B46,Governance!$B$2:$B$101,0),2)</f>
        <v>66</v>
      </c>
      <c r="L46" s="6" t="str">
        <f>INDEX(Governance!A46:C145,1,3)</f>
        <v>Yes</v>
      </c>
      <c r="M46" s="4"/>
      <c r="P46" s="4"/>
      <c r="X46" s="4"/>
      <c r="AB46" s="4"/>
      <c r="AC46" s="4"/>
      <c r="AD46" s="4"/>
      <c r="AE46" s="4"/>
    </row>
    <row r="47" spans="1:31" x14ac:dyDescent="0.35">
      <c r="A47" s="6">
        <f>INDEX(Company_Master!$A$2:$A$101,MATCH(Company_Master!A47,Company_Master!$A$2:$A$101,0))</f>
        <v>46</v>
      </c>
      <c r="B47" s="6" t="str">
        <f>INDEX(Company_Master!$C$2:$C$101,MATCH(Company_Master!C47,Company_Master!$C$2:$C$101,0))</f>
        <v>Finance</v>
      </c>
      <c r="C47" s="6" t="str">
        <f>_xlfn.XLOOKUP(A47,A47:A146,Company_Master!D47:D146,0)</f>
        <v>Canada</v>
      </c>
      <c r="D47" s="6">
        <f>INDEX(Company_Master!$A$2:$H$101,MATCH(Company_Master!F47,Company_Master!$F$2:$F$101,0),6)</f>
        <v>4593</v>
      </c>
      <c r="E47" s="6">
        <f>_xlfn.XLOOKUP(Governance!E47,Governance!$E$2:$E$101,Governance!$E$2:$E$101,0)</f>
        <v>60</v>
      </c>
      <c r="F47" s="6">
        <f>INDEX(Environmental!$A$2:$I$101,MATCH(Environmental!C47,Environmental!$C$2:$C$101,0),3)</f>
        <v>973</v>
      </c>
      <c r="G47" s="6">
        <f>INDEX(Environmental!$A$2:$I$101,MATCH(Environmental!D47,Environmental!$D$2:$D$101,0),4)</f>
        <v>4273</v>
      </c>
      <c r="H47" s="6">
        <f>INDEX(Environmental!$A$2:$I$101,MATCH(Environmental!E47,Environmental!$E$2:$E$101,0),5)</f>
        <v>17648</v>
      </c>
      <c r="I47" s="6">
        <f>INDEX(Environmental!$A$2:$I$101,MATCH(Environmental!G47,Environmental!$G$2:$G$101,0),7)</f>
        <v>7</v>
      </c>
      <c r="J47" s="6">
        <f>INDEX(Social!$A$2:$G$101,MATCH(Social!C47,Social!$C$2:$C$101,0),3)</f>
        <v>25</v>
      </c>
      <c r="K47" s="6">
        <f>INDEX(Governance!$A$2:$F$101,MATCH(Governance!B47,Governance!$B$2:$B$101,0),2)</f>
        <v>82</v>
      </c>
      <c r="L47" s="6" t="str">
        <f>INDEX(Governance!A47:C146,1,3)</f>
        <v>Yes</v>
      </c>
      <c r="M47" s="4"/>
      <c r="P47" s="4"/>
      <c r="X47" s="4"/>
      <c r="AB47" s="4"/>
      <c r="AC47" s="4"/>
      <c r="AD47" s="4"/>
      <c r="AE47" s="4"/>
    </row>
    <row r="48" spans="1:31" x14ac:dyDescent="0.35">
      <c r="A48" s="6">
        <f>INDEX(Company_Master!$A$2:$A$101,MATCH(Company_Master!A48,Company_Master!$A$2:$A$101,0))</f>
        <v>47</v>
      </c>
      <c r="B48" s="6" t="str">
        <f>INDEX(Company_Master!$C$2:$C$101,MATCH(Company_Master!C48,Company_Master!$C$2:$C$101,0))</f>
        <v>Healthcare</v>
      </c>
      <c r="C48" s="6" t="str">
        <f>_xlfn.XLOOKUP(A48,A48:A147,Company_Master!D48:D147,0)</f>
        <v>Japan</v>
      </c>
      <c r="D48" s="6">
        <f>INDEX(Company_Master!$A$2:$H$101,MATCH(Company_Master!F48,Company_Master!$F$2:$F$101,0),6)</f>
        <v>19725</v>
      </c>
      <c r="E48" s="6">
        <f>_xlfn.XLOOKUP(Governance!E48,Governance!$E$2:$E$101,Governance!$E$2:$E$101,0)</f>
        <v>86</v>
      </c>
      <c r="F48" s="6">
        <f>INDEX(Environmental!$A$2:$I$101,MATCH(Environmental!C48,Environmental!$C$2:$C$101,0),3)</f>
        <v>1455</v>
      </c>
      <c r="G48" s="6">
        <f>INDEX(Environmental!$A$2:$I$101,MATCH(Environmental!D48,Environmental!$D$2:$D$101,0),4)</f>
        <v>1607</v>
      </c>
      <c r="H48" s="6">
        <f>INDEX(Environmental!$A$2:$I$101,MATCH(Environmental!E48,Environmental!$E$2:$E$101,0),5)</f>
        <v>28702</v>
      </c>
      <c r="I48" s="6">
        <f>INDEX(Environmental!$A$2:$I$101,MATCH(Environmental!G48,Environmental!$G$2:$G$101,0),7)</f>
        <v>53</v>
      </c>
      <c r="J48" s="6">
        <f>INDEX(Social!$A$2:$G$101,MATCH(Social!C48,Social!$C$2:$C$101,0),3)</f>
        <v>49</v>
      </c>
      <c r="K48" s="6">
        <f>INDEX(Governance!$A$2:$F$101,MATCH(Governance!B48,Governance!$B$2:$B$101,0),2)</f>
        <v>93</v>
      </c>
      <c r="L48" s="6" t="str">
        <f>INDEX(Governance!A48:C147,1,3)</f>
        <v>No</v>
      </c>
      <c r="M48" s="4"/>
      <c r="P48" s="4"/>
      <c r="X48" s="4"/>
      <c r="AB48" s="4"/>
      <c r="AC48" s="4"/>
      <c r="AD48" s="4"/>
      <c r="AE48" s="4"/>
    </row>
    <row r="49" spans="1:31" x14ac:dyDescent="0.35">
      <c r="A49" s="6">
        <f>INDEX(Company_Master!$A$2:$A$101,MATCH(Company_Master!A49,Company_Master!$A$2:$A$101,0))</f>
        <v>48</v>
      </c>
      <c r="B49" s="6" t="str">
        <f>INDEX(Company_Master!$C$2:$C$101,MATCH(Company_Master!C49,Company_Master!$C$2:$C$101,0))</f>
        <v>Healthcare</v>
      </c>
      <c r="C49" s="6" t="str">
        <f>_xlfn.XLOOKUP(A49,A49:A148,Company_Master!D49:D148,0)</f>
        <v>Australia</v>
      </c>
      <c r="D49" s="6">
        <f>INDEX(Company_Master!$A$2:$H$101,MATCH(Company_Master!F49,Company_Master!$F$2:$F$101,0),6)</f>
        <v>10025</v>
      </c>
      <c r="E49" s="6">
        <f>_xlfn.XLOOKUP(Governance!E49,Governance!$E$2:$E$101,Governance!$E$2:$E$101,0)</f>
        <v>48</v>
      </c>
      <c r="F49" s="6">
        <f>INDEX(Environmental!$A$2:$I$101,MATCH(Environmental!C49,Environmental!$C$2:$C$101,0),3)</f>
        <v>4948</v>
      </c>
      <c r="G49" s="6">
        <f>INDEX(Environmental!$A$2:$I$101,MATCH(Environmental!D49,Environmental!$D$2:$D$101,0),4)</f>
        <v>2253</v>
      </c>
      <c r="H49" s="6">
        <f>INDEX(Environmental!$A$2:$I$101,MATCH(Environmental!E49,Environmental!$E$2:$E$101,0),5)</f>
        <v>3758</v>
      </c>
      <c r="I49" s="6">
        <f>INDEX(Environmental!$A$2:$I$101,MATCH(Environmental!G49,Environmental!$G$2:$G$101,0),7)</f>
        <v>33</v>
      </c>
      <c r="J49" s="6">
        <f>INDEX(Social!$A$2:$G$101,MATCH(Social!C49,Social!$C$2:$C$101,0),3)</f>
        <v>28</v>
      </c>
      <c r="K49" s="6">
        <f>INDEX(Governance!$A$2:$F$101,MATCH(Governance!B49,Governance!$B$2:$B$101,0),2)</f>
        <v>74</v>
      </c>
      <c r="L49" s="6" t="str">
        <f>INDEX(Governance!A49:C148,1,3)</f>
        <v>Yes</v>
      </c>
      <c r="M49" s="4"/>
      <c r="P49" s="4"/>
      <c r="X49" s="4"/>
      <c r="AB49" s="4"/>
      <c r="AC49" s="4"/>
      <c r="AD49" s="4"/>
      <c r="AE49" s="4"/>
    </row>
    <row r="50" spans="1:31" x14ac:dyDescent="0.35">
      <c r="A50" s="6">
        <f>INDEX(Company_Master!$A$2:$A$101,MATCH(Company_Master!A50,Company_Master!$A$2:$A$101,0))</f>
        <v>49</v>
      </c>
      <c r="B50" s="6" t="str">
        <f>INDEX(Company_Master!$C$2:$C$101,MATCH(Company_Master!C50,Company_Master!$C$2:$C$101,0))</f>
        <v>Finance</v>
      </c>
      <c r="C50" s="6" t="str">
        <f>_xlfn.XLOOKUP(A50,A50:A149,Company_Master!D50:D149,0)</f>
        <v>USA</v>
      </c>
      <c r="D50" s="6">
        <f>INDEX(Company_Master!$A$2:$H$101,MATCH(Company_Master!F50,Company_Master!$F$2:$F$101,0),6)</f>
        <v>26297</v>
      </c>
      <c r="E50" s="6">
        <f>_xlfn.XLOOKUP(Governance!E50,Governance!$E$2:$E$101,Governance!$E$2:$E$101,0)</f>
        <v>78</v>
      </c>
      <c r="F50" s="6">
        <f>INDEX(Environmental!$A$2:$I$101,MATCH(Environmental!C50,Environmental!$C$2:$C$101,0),3)</f>
        <v>1870</v>
      </c>
      <c r="G50" s="6">
        <f>INDEX(Environmental!$A$2:$I$101,MATCH(Environmental!D50,Environmental!$D$2:$D$101,0),4)</f>
        <v>2409</v>
      </c>
      <c r="H50" s="6">
        <f>INDEX(Environmental!$A$2:$I$101,MATCH(Environmental!E50,Environmental!$E$2:$E$101,0),5)</f>
        <v>14574</v>
      </c>
      <c r="I50" s="6">
        <f>INDEX(Environmental!$A$2:$I$101,MATCH(Environmental!G50,Environmental!$G$2:$G$101,0),7)</f>
        <v>8</v>
      </c>
      <c r="J50" s="6">
        <f>INDEX(Social!$A$2:$G$101,MATCH(Social!C50,Social!$C$2:$C$101,0),3)</f>
        <v>28</v>
      </c>
      <c r="K50" s="6">
        <f>INDEX(Governance!$A$2:$F$101,MATCH(Governance!B50,Governance!$B$2:$B$101,0),2)</f>
        <v>58</v>
      </c>
      <c r="L50" s="6" t="str">
        <f>INDEX(Governance!A50:C149,1,3)</f>
        <v>Yes</v>
      </c>
      <c r="M50" s="4"/>
      <c r="O50" s="4"/>
      <c r="P50" s="4"/>
      <c r="Q50" s="4"/>
      <c r="R50" s="4"/>
      <c r="S50" s="4"/>
      <c r="T50" s="4"/>
      <c r="U50" s="4"/>
      <c r="V50" s="4"/>
      <c r="W50" s="4"/>
      <c r="X50" s="4"/>
      <c r="AB50" s="4"/>
      <c r="AC50" s="4"/>
      <c r="AD50" s="4"/>
      <c r="AE50" s="4"/>
    </row>
    <row r="51" spans="1:31" x14ac:dyDescent="0.35">
      <c r="A51" s="6">
        <f>INDEX(Company_Master!$A$2:$A$101,MATCH(Company_Master!A51,Company_Master!$A$2:$A$101,0))</f>
        <v>50</v>
      </c>
      <c r="B51" s="6" t="str">
        <f>INDEX(Company_Master!$C$2:$C$101,MATCH(Company_Master!C51,Company_Master!$C$2:$C$101,0))</f>
        <v>Energy</v>
      </c>
      <c r="C51" s="6" t="str">
        <f>_xlfn.XLOOKUP(A51,A51:A150,Company_Master!D51:D150,0)</f>
        <v>Japan</v>
      </c>
      <c r="D51" s="6">
        <f>INDEX(Company_Master!$A$2:$H$101,MATCH(Company_Master!F51,Company_Master!$F$2:$F$101,0),6)</f>
        <v>475</v>
      </c>
      <c r="E51" s="6">
        <f>_xlfn.XLOOKUP(Governance!E51,Governance!$E$2:$E$101,Governance!$E$2:$E$101,0)</f>
        <v>45</v>
      </c>
      <c r="F51" s="6">
        <f>INDEX(Environmental!$A$2:$I$101,MATCH(Environmental!C51,Environmental!$C$2:$C$101,0),3)</f>
        <v>4580</v>
      </c>
      <c r="G51" s="6">
        <f>INDEX(Environmental!$A$2:$I$101,MATCH(Environmental!D51,Environmental!$D$2:$D$101,0),4)</f>
        <v>1994</v>
      </c>
      <c r="H51" s="6">
        <f>INDEX(Environmental!$A$2:$I$101,MATCH(Environmental!E51,Environmental!$E$2:$E$101,0),5)</f>
        <v>43544</v>
      </c>
      <c r="I51" s="6">
        <f>INDEX(Environmental!$A$2:$I$101,MATCH(Environmental!G51,Environmental!$G$2:$G$101,0),7)</f>
        <v>18</v>
      </c>
      <c r="J51" s="6">
        <f>INDEX(Social!$A$2:$G$101,MATCH(Social!C51,Social!$C$2:$C$101,0),3)</f>
        <v>16</v>
      </c>
      <c r="K51" s="6">
        <f>INDEX(Governance!$A$2:$F$101,MATCH(Governance!B51,Governance!$B$2:$B$101,0),2)</f>
        <v>95</v>
      </c>
      <c r="L51" s="6" t="str">
        <f>INDEX(Governance!A51:C150,1,3)</f>
        <v>Yes</v>
      </c>
      <c r="M51" s="4"/>
      <c r="N51" s="4"/>
      <c r="O51" s="4"/>
      <c r="P51" s="4"/>
      <c r="Q51" s="4"/>
      <c r="R51" s="4"/>
      <c r="S51" s="4"/>
      <c r="T51" s="4"/>
      <c r="U51" s="4"/>
      <c r="V51" s="4"/>
      <c r="W51" s="4"/>
      <c r="X51" s="4"/>
      <c r="Y51" s="4"/>
      <c r="Z51" s="4"/>
      <c r="AA51" s="4"/>
      <c r="AB51" s="4"/>
      <c r="AC51" s="4"/>
      <c r="AD51" s="4"/>
      <c r="AE51" s="4"/>
    </row>
    <row r="52" spans="1:31" x14ac:dyDescent="0.35">
      <c r="A52" s="6">
        <f>INDEX(Company_Master!$A$2:$A$101,MATCH(Company_Master!A52,Company_Master!$A$2:$A$101,0))</f>
        <v>51</v>
      </c>
      <c r="B52" s="6" t="str">
        <f>INDEX(Company_Master!$C$2:$C$101,MATCH(Company_Master!C52,Company_Master!$C$2:$C$101,0))</f>
        <v>Healthcare</v>
      </c>
      <c r="C52" s="6" t="str">
        <f>_xlfn.XLOOKUP(A52,A52:A151,Company_Master!D52:D151,0)</f>
        <v>Canada</v>
      </c>
      <c r="D52" s="6">
        <f>INDEX(Company_Master!$A$2:$H$101,MATCH(Company_Master!F52,Company_Master!$F$2:$F$101,0),6)</f>
        <v>11399</v>
      </c>
      <c r="E52" s="6">
        <f>_xlfn.XLOOKUP(Governance!E52,Governance!$E$2:$E$101,Governance!$E$2:$E$101,0)</f>
        <v>59</v>
      </c>
      <c r="F52" s="6">
        <f>INDEX(Environmental!$A$2:$I$101,MATCH(Environmental!C52,Environmental!$C$2:$C$101,0),3)</f>
        <v>265</v>
      </c>
      <c r="G52" s="6">
        <f>INDEX(Environmental!$A$2:$I$101,MATCH(Environmental!D52,Environmental!$D$2:$D$101,0),4)</f>
        <v>4057</v>
      </c>
      <c r="H52" s="6">
        <f>INDEX(Environmental!$A$2:$I$101,MATCH(Environmental!E52,Environmental!$E$2:$E$101,0),5)</f>
        <v>47361</v>
      </c>
      <c r="I52" s="6">
        <f>INDEX(Environmental!$A$2:$I$101,MATCH(Environmental!G52,Environmental!$G$2:$G$101,0),7)</f>
        <v>56</v>
      </c>
      <c r="J52" s="6">
        <f>INDEX(Social!$A$2:$G$101,MATCH(Social!C52,Social!$C$2:$C$101,0),3)</f>
        <v>15</v>
      </c>
      <c r="K52" s="6">
        <f>INDEX(Governance!$A$2:$F$101,MATCH(Governance!B52,Governance!$B$2:$B$101,0),2)</f>
        <v>99</v>
      </c>
      <c r="L52" s="6" t="str">
        <f>INDEX(Governance!A52:C151,1,3)</f>
        <v>Yes</v>
      </c>
    </row>
    <row r="53" spans="1:31" x14ac:dyDescent="0.35">
      <c r="A53" s="6">
        <f>INDEX(Company_Master!$A$2:$A$101,MATCH(Company_Master!A53,Company_Master!$A$2:$A$101,0))</f>
        <v>52</v>
      </c>
      <c r="B53" s="6" t="str">
        <f>INDEX(Company_Master!$C$2:$C$101,MATCH(Company_Master!C53,Company_Master!$C$2:$C$101,0))</f>
        <v>Manufacturing</v>
      </c>
      <c r="C53" s="6" t="str">
        <f>_xlfn.XLOOKUP(A53,A53:A152,Company_Master!D53:D152,0)</f>
        <v>Canada</v>
      </c>
      <c r="D53" s="6">
        <f>INDEX(Company_Master!$A$2:$H$101,MATCH(Company_Master!F53,Company_Master!$F$2:$F$101,0),6)</f>
        <v>25458</v>
      </c>
      <c r="E53" s="6">
        <f>_xlfn.XLOOKUP(Governance!E53,Governance!$E$2:$E$101,Governance!$E$2:$E$101,0)</f>
        <v>87</v>
      </c>
      <c r="F53" s="6">
        <f>INDEX(Environmental!$A$2:$I$101,MATCH(Environmental!C53,Environmental!$C$2:$C$101,0),3)</f>
        <v>2431</v>
      </c>
      <c r="G53" s="6">
        <f>INDEX(Environmental!$A$2:$I$101,MATCH(Environmental!D53,Environmental!$D$2:$D$101,0),4)</f>
        <v>2115</v>
      </c>
      <c r="H53" s="6">
        <f>INDEX(Environmental!$A$2:$I$101,MATCH(Environmental!E53,Environmental!$E$2:$E$101,0),5)</f>
        <v>39710</v>
      </c>
      <c r="I53" s="6">
        <f>INDEX(Environmental!$A$2:$I$101,MATCH(Environmental!G53,Environmental!$G$2:$G$101,0),7)</f>
        <v>57</v>
      </c>
      <c r="J53" s="6">
        <f>INDEX(Social!$A$2:$G$101,MATCH(Social!C53,Social!$C$2:$C$101,0),3)</f>
        <v>19</v>
      </c>
      <c r="K53" s="6">
        <f>INDEX(Governance!$A$2:$F$101,MATCH(Governance!B53,Governance!$B$2:$B$101,0),2)</f>
        <v>85</v>
      </c>
      <c r="L53" s="6" t="str">
        <f>INDEX(Governance!A53:C152,1,3)</f>
        <v>Yes</v>
      </c>
    </row>
    <row r="54" spans="1:31" x14ac:dyDescent="0.35">
      <c r="A54" s="6">
        <f>INDEX(Company_Master!$A$2:$A$101,MATCH(Company_Master!A54,Company_Master!$A$2:$A$101,0))</f>
        <v>53</v>
      </c>
      <c r="B54" s="6" t="str">
        <f>INDEX(Company_Master!$C$2:$C$101,MATCH(Company_Master!C54,Company_Master!$C$2:$C$101,0))</f>
        <v>Technology</v>
      </c>
      <c r="C54" s="6" t="str">
        <f>_xlfn.XLOOKUP(A54,A54:A153,Company_Master!D54:D153,0)</f>
        <v>UK</v>
      </c>
      <c r="D54" s="6">
        <f>INDEX(Company_Master!$A$2:$H$101,MATCH(Company_Master!F54,Company_Master!$F$2:$F$101,0),6)</f>
        <v>29411</v>
      </c>
      <c r="E54" s="6">
        <f>_xlfn.XLOOKUP(Governance!E54,Governance!$E$2:$E$101,Governance!$E$2:$E$101,0)</f>
        <v>48</v>
      </c>
      <c r="F54" s="6">
        <f>INDEX(Environmental!$A$2:$I$101,MATCH(Environmental!C54,Environmental!$C$2:$C$101,0),3)</f>
        <v>7809</v>
      </c>
      <c r="G54" s="6">
        <f>INDEX(Environmental!$A$2:$I$101,MATCH(Environmental!D54,Environmental!$D$2:$D$101,0),4)</f>
        <v>402</v>
      </c>
      <c r="H54" s="6">
        <f>INDEX(Environmental!$A$2:$I$101,MATCH(Environmental!E54,Environmental!$E$2:$E$101,0),5)</f>
        <v>5331</v>
      </c>
      <c r="I54" s="6">
        <f>INDEX(Environmental!$A$2:$I$101,MATCH(Environmental!G54,Environmental!$G$2:$G$101,0),7)</f>
        <v>79</v>
      </c>
      <c r="J54" s="6">
        <f>INDEX(Social!$A$2:$G$101,MATCH(Social!C54,Social!$C$2:$C$101,0),3)</f>
        <v>54</v>
      </c>
      <c r="K54" s="6">
        <f>INDEX(Governance!$A$2:$F$101,MATCH(Governance!B54,Governance!$B$2:$B$101,0),2)</f>
        <v>88</v>
      </c>
      <c r="L54" s="6" t="str">
        <f>INDEX(Governance!A54:C153,1,3)</f>
        <v>Yes</v>
      </c>
    </row>
    <row r="55" spans="1:31" x14ac:dyDescent="0.35">
      <c r="A55" s="6">
        <f>INDEX(Company_Master!$A$2:$A$101,MATCH(Company_Master!A55,Company_Master!$A$2:$A$101,0))</f>
        <v>54</v>
      </c>
      <c r="B55" s="6" t="str">
        <f>INDEX(Company_Master!$C$2:$C$101,MATCH(Company_Master!C55,Company_Master!$C$2:$C$101,0))</f>
        <v>Healthcare</v>
      </c>
      <c r="C55" s="6" t="str">
        <f>_xlfn.XLOOKUP(A55,A55:A154,Company_Master!D55:D154,0)</f>
        <v>USA</v>
      </c>
      <c r="D55" s="6">
        <f>INDEX(Company_Master!$A$2:$H$101,MATCH(Company_Master!F55,Company_Master!$F$2:$F$101,0),6)</f>
        <v>12963</v>
      </c>
      <c r="E55" s="6">
        <f>_xlfn.XLOOKUP(Governance!E55,Governance!$E$2:$E$101,Governance!$E$2:$E$101,0)</f>
        <v>94</v>
      </c>
      <c r="F55" s="6">
        <f>INDEX(Environmental!$A$2:$I$101,MATCH(Environmental!C55,Environmental!$C$2:$C$101,0),3)</f>
        <v>2189</v>
      </c>
      <c r="G55" s="6">
        <f>INDEX(Environmental!$A$2:$I$101,MATCH(Environmental!D55,Environmental!$D$2:$D$101,0),4)</f>
        <v>4755</v>
      </c>
      <c r="H55" s="6">
        <f>INDEX(Environmental!$A$2:$I$101,MATCH(Environmental!E55,Environmental!$E$2:$E$101,0),5)</f>
        <v>43780</v>
      </c>
      <c r="I55" s="6">
        <f>INDEX(Environmental!$A$2:$I$101,MATCH(Environmental!G55,Environmental!$G$2:$G$101,0),7)</f>
        <v>10</v>
      </c>
      <c r="J55" s="6">
        <f>INDEX(Social!$A$2:$G$101,MATCH(Social!C55,Social!$C$2:$C$101,0),3)</f>
        <v>56</v>
      </c>
      <c r="K55" s="6">
        <f>INDEX(Governance!$A$2:$F$101,MATCH(Governance!B55,Governance!$B$2:$B$101,0),2)</f>
        <v>53</v>
      </c>
      <c r="L55" s="6" t="str">
        <f>INDEX(Governance!A55:C154,1,3)</f>
        <v>No</v>
      </c>
    </row>
    <row r="56" spans="1:31" x14ac:dyDescent="0.35">
      <c r="A56" s="6">
        <f>INDEX(Company_Master!$A$2:$A$101,MATCH(Company_Master!A56,Company_Master!$A$2:$A$101,0))</f>
        <v>55</v>
      </c>
      <c r="B56" s="6" t="str">
        <f>INDEX(Company_Master!$C$2:$C$101,MATCH(Company_Master!C56,Company_Master!$C$2:$C$101,0))</f>
        <v>Technology</v>
      </c>
      <c r="C56" s="6" t="str">
        <f>_xlfn.XLOOKUP(A56,A56:A155,Company_Master!D56:D155,0)</f>
        <v>Japan</v>
      </c>
      <c r="D56" s="6">
        <f>INDEX(Company_Master!$A$2:$H$101,MATCH(Company_Master!F56,Company_Master!$F$2:$F$101,0),6)</f>
        <v>18463</v>
      </c>
      <c r="E56" s="6">
        <f>_xlfn.XLOOKUP(Governance!E56,Governance!$E$2:$E$101,Governance!$E$2:$E$101,0)</f>
        <v>87</v>
      </c>
      <c r="F56" s="6">
        <f>INDEX(Environmental!$A$2:$I$101,MATCH(Environmental!C56,Environmental!$C$2:$C$101,0),3)</f>
        <v>6564</v>
      </c>
      <c r="G56" s="6">
        <f>INDEX(Environmental!$A$2:$I$101,MATCH(Environmental!D56,Environmental!$D$2:$D$101,0),4)</f>
        <v>2544</v>
      </c>
      <c r="H56" s="6">
        <f>INDEX(Environmental!$A$2:$I$101,MATCH(Environmental!E56,Environmental!$E$2:$E$101,0),5)</f>
        <v>23227</v>
      </c>
      <c r="I56" s="6">
        <f>INDEX(Environmental!$A$2:$I$101,MATCH(Environmental!G56,Environmental!$G$2:$G$101,0),7)</f>
        <v>34</v>
      </c>
      <c r="J56" s="6">
        <f>INDEX(Social!$A$2:$G$101,MATCH(Social!C56,Social!$C$2:$C$101,0),3)</f>
        <v>54</v>
      </c>
      <c r="K56" s="6">
        <f>INDEX(Governance!$A$2:$F$101,MATCH(Governance!B56,Governance!$B$2:$B$101,0),2)</f>
        <v>98</v>
      </c>
      <c r="L56" s="6" t="str">
        <f>INDEX(Governance!A56:C155,1,3)</f>
        <v>Yes</v>
      </c>
    </row>
    <row r="57" spans="1:31" x14ac:dyDescent="0.35">
      <c r="A57" s="6">
        <f>INDEX(Company_Master!$A$2:$A$101,MATCH(Company_Master!A57,Company_Master!$A$2:$A$101,0))</f>
        <v>56</v>
      </c>
      <c r="B57" s="6" t="str">
        <f>INDEX(Company_Master!$C$2:$C$101,MATCH(Company_Master!C57,Company_Master!$C$2:$C$101,0))</f>
        <v>Manufacturing</v>
      </c>
      <c r="C57" s="6" t="str">
        <f>_xlfn.XLOOKUP(A57,A57:A156,Company_Master!D57:D156,0)</f>
        <v>USA</v>
      </c>
      <c r="D57" s="6">
        <f>INDEX(Company_Master!$A$2:$H$101,MATCH(Company_Master!F57,Company_Master!$F$2:$F$101,0),6)</f>
        <v>14990</v>
      </c>
      <c r="E57" s="6">
        <f>_xlfn.XLOOKUP(Governance!E57,Governance!$E$2:$E$101,Governance!$E$2:$E$101,0)</f>
        <v>41</v>
      </c>
      <c r="F57" s="6">
        <f>INDEX(Environmental!$A$2:$I$101,MATCH(Environmental!C57,Environmental!$C$2:$C$101,0),3)</f>
        <v>3025</v>
      </c>
      <c r="G57" s="6">
        <f>INDEX(Environmental!$A$2:$I$101,MATCH(Environmental!D57,Environmental!$D$2:$D$101,0),4)</f>
        <v>3595</v>
      </c>
      <c r="H57" s="6">
        <f>INDEX(Environmental!$A$2:$I$101,MATCH(Environmental!E57,Environmental!$E$2:$E$101,0),5)</f>
        <v>25295</v>
      </c>
      <c r="I57" s="6">
        <f>INDEX(Environmental!$A$2:$I$101,MATCH(Environmental!G57,Environmental!$G$2:$G$101,0),7)</f>
        <v>68</v>
      </c>
      <c r="J57" s="6">
        <f>INDEX(Social!$A$2:$G$101,MATCH(Social!C57,Social!$C$2:$C$101,0),3)</f>
        <v>27</v>
      </c>
      <c r="K57" s="6">
        <f>INDEX(Governance!$A$2:$F$101,MATCH(Governance!B57,Governance!$B$2:$B$101,0),2)</f>
        <v>46</v>
      </c>
      <c r="L57" s="6" t="str">
        <f>INDEX(Governance!A57:C156,1,3)</f>
        <v>No</v>
      </c>
    </row>
    <row r="58" spans="1:31" x14ac:dyDescent="0.35">
      <c r="A58" s="6">
        <f>INDEX(Company_Master!$A$2:$A$101,MATCH(Company_Master!A58,Company_Master!$A$2:$A$101,0))</f>
        <v>57</v>
      </c>
      <c r="B58" s="6" t="str">
        <f>INDEX(Company_Master!$C$2:$C$101,MATCH(Company_Master!C58,Company_Master!$C$2:$C$101,0))</f>
        <v>Healthcare</v>
      </c>
      <c r="C58" s="6" t="str">
        <f>_xlfn.XLOOKUP(A58,A58:A157,Company_Master!D58:D157,0)</f>
        <v>UK</v>
      </c>
      <c r="D58" s="6">
        <f>INDEX(Company_Master!$A$2:$H$101,MATCH(Company_Master!F58,Company_Master!$F$2:$F$101,0),6)</f>
        <v>13742</v>
      </c>
      <c r="E58" s="6">
        <f>_xlfn.XLOOKUP(Governance!E58,Governance!$E$2:$E$101,Governance!$E$2:$E$101,0)</f>
        <v>90</v>
      </c>
      <c r="F58" s="6">
        <f>INDEX(Environmental!$A$2:$I$101,MATCH(Environmental!C58,Environmental!$C$2:$C$101,0),3)</f>
        <v>5777</v>
      </c>
      <c r="G58" s="6">
        <f>INDEX(Environmental!$A$2:$I$101,MATCH(Environmental!D58,Environmental!$D$2:$D$101,0),4)</f>
        <v>3910</v>
      </c>
      <c r="H58" s="6">
        <f>INDEX(Environmental!$A$2:$I$101,MATCH(Environmental!E58,Environmental!$E$2:$E$101,0),5)</f>
        <v>34430</v>
      </c>
      <c r="I58" s="6">
        <f>INDEX(Environmental!$A$2:$I$101,MATCH(Environmental!G58,Environmental!$G$2:$G$101,0),7)</f>
        <v>40</v>
      </c>
      <c r="J58" s="6">
        <f>INDEX(Social!$A$2:$G$101,MATCH(Social!C58,Social!$C$2:$C$101,0),3)</f>
        <v>29</v>
      </c>
      <c r="K58" s="6">
        <f>INDEX(Governance!$A$2:$F$101,MATCH(Governance!B58,Governance!$B$2:$B$101,0),2)</f>
        <v>69</v>
      </c>
      <c r="L58" s="6" t="str">
        <f>INDEX(Governance!A58:C157,1,3)</f>
        <v>Yes</v>
      </c>
    </row>
    <row r="59" spans="1:31" x14ac:dyDescent="0.35">
      <c r="A59" s="6">
        <f>INDEX(Company_Master!$A$2:$A$101,MATCH(Company_Master!A59,Company_Master!$A$2:$A$101,0))</f>
        <v>58</v>
      </c>
      <c r="B59" s="6" t="str">
        <f>INDEX(Company_Master!$C$2:$C$101,MATCH(Company_Master!C59,Company_Master!$C$2:$C$101,0))</f>
        <v>Finance</v>
      </c>
      <c r="C59" s="6" t="str">
        <f>_xlfn.XLOOKUP(A59,A59:A158,Company_Master!D59:D158,0)</f>
        <v>Japan</v>
      </c>
      <c r="D59" s="6">
        <f>INDEX(Company_Master!$A$2:$H$101,MATCH(Company_Master!F59,Company_Master!$F$2:$F$101,0),6)</f>
        <v>1745</v>
      </c>
      <c r="E59" s="6">
        <f>_xlfn.XLOOKUP(Governance!E59,Governance!$E$2:$E$101,Governance!$E$2:$E$101,0)</f>
        <v>70</v>
      </c>
      <c r="F59" s="6">
        <f>INDEX(Environmental!$A$2:$I$101,MATCH(Environmental!C59,Environmental!$C$2:$C$101,0),3)</f>
        <v>7190</v>
      </c>
      <c r="G59" s="6">
        <f>INDEX(Environmental!$A$2:$I$101,MATCH(Environmental!D59,Environmental!$D$2:$D$101,0),4)</f>
        <v>92</v>
      </c>
      <c r="H59" s="6">
        <f>INDEX(Environmental!$A$2:$I$101,MATCH(Environmental!E59,Environmental!$E$2:$E$101,0),5)</f>
        <v>35454</v>
      </c>
      <c r="I59" s="6">
        <f>INDEX(Environmental!$A$2:$I$101,MATCH(Environmental!G59,Environmental!$G$2:$G$101,0),7)</f>
        <v>6</v>
      </c>
      <c r="J59" s="6">
        <f>INDEX(Social!$A$2:$G$101,MATCH(Social!C59,Social!$C$2:$C$101,0),3)</f>
        <v>10</v>
      </c>
      <c r="K59" s="6">
        <f>INDEX(Governance!$A$2:$F$101,MATCH(Governance!B59,Governance!$B$2:$B$101,0),2)</f>
        <v>94</v>
      </c>
      <c r="L59" s="6" t="str">
        <f>INDEX(Governance!A59:C158,1,3)</f>
        <v>Yes</v>
      </c>
    </row>
    <row r="60" spans="1:31" x14ac:dyDescent="0.35">
      <c r="A60" s="6">
        <f>INDEX(Company_Master!$A$2:$A$101,MATCH(Company_Master!A60,Company_Master!$A$2:$A$101,0))</f>
        <v>59</v>
      </c>
      <c r="B60" s="6" t="str">
        <f>INDEX(Company_Master!$C$2:$C$101,MATCH(Company_Master!C60,Company_Master!$C$2:$C$101,0))</f>
        <v>Retail</v>
      </c>
      <c r="C60" s="6" t="str">
        <f>_xlfn.XLOOKUP(A60,A60:A159,Company_Master!D60:D159,0)</f>
        <v>USA</v>
      </c>
      <c r="D60" s="6">
        <f>INDEX(Company_Master!$A$2:$H$101,MATCH(Company_Master!F60,Company_Master!$F$2:$F$101,0),6)</f>
        <v>28719</v>
      </c>
      <c r="E60" s="6">
        <f>_xlfn.XLOOKUP(Governance!E60,Governance!$E$2:$E$101,Governance!$E$2:$E$101,0)</f>
        <v>92</v>
      </c>
      <c r="F60" s="6">
        <f>INDEX(Environmental!$A$2:$I$101,MATCH(Environmental!C60,Environmental!$C$2:$C$101,0),3)</f>
        <v>4291</v>
      </c>
      <c r="G60" s="6">
        <f>INDEX(Environmental!$A$2:$I$101,MATCH(Environmental!D60,Environmental!$D$2:$D$101,0),4)</f>
        <v>3471</v>
      </c>
      <c r="H60" s="6">
        <f>INDEX(Environmental!$A$2:$I$101,MATCH(Environmental!E60,Environmental!$E$2:$E$101,0),5)</f>
        <v>5975</v>
      </c>
      <c r="I60" s="6">
        <f>INDEX(Environmental!$A$2:$I$101,MATCH(Environmental!G60,Environmental!$G$2:$G$101,0),7)</f>
        <v>88</v>
      </c>
      <c r="J60" s="6">
        <f>INDEX(Social!$A$2:$G$101,MATCH(Social!C60,Social!$C$2:$C$101,0),3)</f>
        <v>21</v>
      </c>
      <c r="K60" s="6">
        <f>INDEX(Governance!$A$2:$F$101,MATCH(Governance!B60,Governance!$B$2:$B$101,0),2)</f>
        <v>50</v>
      </c>
      <c r="L60" s="6" t="str">
        <f>INDEX(Governance!A60:C159,1,3)</f>
        <v>Yes</v>
      </c>
    </row>
    <row r="61" spans="1:31" x14ac:dyDescent="0.35">
      <c r="A61" s="6">
        <f>INDEX(Company_Master!$A$2:$A$101,MATCH(Company_Master!A61,Company_Master!$A$2:$A$101,0))</f>
        <v>60</v>
      </c>
      <c r="B61" s="6" t="str">
        <f>INDEX(Company_Master!$C$2:$C$101,MATCH(Company_Master!C61,Company_Master!$C$2:$C$101,0))</f>
        <v>Manufacturing</v>
      </c>
      <c r="C61" s="6" t="str">
        <f>_xlfn.XLOOKUP(A61,A61:A160,Company_Master!D61:D160,0)</f>
        <v>USA</v>
      </c>
      <c r="D61" s="6">
        <f>INDEX(Company_Master!$A$2:$H$101,MATCH(Company_Master!F61,Company_Master!$F$2:$F$101,0),6)</f>
        <v>25705</v>
      </c>
      <c r="E61" s="6">
        <f>_xlfn.XLOOKUP(Governance!E61,Governance!$E$2:$E$101,Governance!$E$2:$E$101,0)</f>
        <v>70</v>
      </c>
      <c r="F61" s="6">
        <f>INDEX(Environmental!$A$2:$I$101,MATCH(Environmental!C61,Environmental!$C$2:$C$101,0),3)</f>
        <v>3343</v>
      </c>
      <c r="G61" s="6">
        <f>INDEX(Environmental!$A$2:$I$101,MATCH(Environmental!D61,Environmental!$D$2:$D$101,0),4)</f>
        <v>2246</v>
      </c>
      <c r="H61" s="6">
        <f>INDEX(Environmental!$A$2:$I$101,MATCH(Environmental!E61,Environmental!$E$2:$E$101,0),5)</f>
        <v>26881</v>
      </c>
      <c r="I61" s="6">
        <f>INDEX(Environmental!$A$2:$I$101,MATCH(Environmental!G61,Environmental!$G$2:$G$101,0),7)</f>
        <v>59</v>
      </c>
      <c r="J61" s="6">
        <f>INDEX(Social!$A$2:$G$101,MATCH(Social!C61,Social!$C$2:$C$101,0),3)</f>
        <v>35</v>
      </c>
      <c r="K61" s="6">
        <f>INDEX(Governance!$A$2:$F$101,MATCH(Governance!B61,Governance!$B$2:$B$101,0),2)</f>
        <v>43</v>
      </c>
      <c r="L61" s="6" t="str">
        <f>INDEX(Governance!A61:C160,1,3)</f>
        <v>Yes</v>
      </c>
    </row>
    <row r="62" spans="1:31" x14ac:dyDescent="0.35">
      <c r="A62" s="6">
        <f>INDEX(Company_Master!$A$2:$A$101,MATCH(Company_Master!A62,Company_Master!$A$2:$A$101,0))</f>
        <v>61</v>
      </c>
      <c r="B62" s="6" t="str">
        <f>INDEX(Company_Master!$C$2:$C$101,MATCH(Company_Master!C62,Company_Master!$C$2:$C$101,0))</f>
        <v>Manufacturing</v>
      </c>
      <c r="C62" s="6" t="str">
        <f>_xlfn.XLOOKUP(A62,A62:A161,Company_Master!D62:D161,0)</f>
        <v>Canada</v>
      </c>
      <c r="D62" s="6">
        <f>INDEX(Company_Master!$A$2:$H$101,MATCH(Company_Master!F62,Company_Master!$F$2:$F$101,0),6)</f>
        <v>3008</v>
      </c>
      <c r="E62" s="6">
        <f>_xlfn.XLOOKUP(Governance!E62,Governance!$E$2:$E$101,Governance!$E$2:$E$101,0)</f>
        <v>55</v>
      </c>
      <c r="F62" s="6">
        <f>INDEX(Environmental!$A$2:$I$101,MATCH(Environmental!C62,Environmental!$C$2:$C$101,0),3)</f>
        <v>7123</v>
      </c>
      <c r="G62" s="6">
        <f>INDEX(Environmental!$A$2:$I$101,MATCH(Environmental!D62,Environmental!$D$2:$D$101,0),4)</f>
        <v>571</v>
      </c>
      <c r="H62" s="6">
        <f>INDEX(Environmental!$A$2:$I$101,MATCH(Environmental!E62,Environmental!$E$2:$E$101,0),5)</f>
        <v>35763</v>
      </c>
      <c r="I62" s="6">
        <f>INDEX(Environmental!$A$2:$I$101,MATCH(Environmental!G62,Environmental!$G$2:$G$101,0),7)</f>
        <v>20</v>
      </c>
      <c r="J62" s="6">
        <f>INDEX(Social!$A$2:$G$101,MATCH(Social!C62,Social!$C$2:$C$101,0),3)</f>
        <v>12</v>
      </c>
      <c r="K62" s="6">
        <f>INDEX(Governance!$A$2:$F$101,MATCH(Governance!B62,Governance!$B$2:$B$101,0),2)</f>
        <v>67</v>
      </c>
      <c r="L62" s="6" t="str">
        <f>INDEX(Governance!A62:C161,1,3)</f>
        <v>Yes</v>
      </c>
    </row>
    <row r="63" spans="1:31" x14ac:dyDescent="0.35">
      <c r="A63" s="6">
        <f>INDEX(Company_Master!$A$2:$A$101,MATCH(Company_Master!A63,Company_Master!$A$2:$A$101,0))</f>
        <v>62</v>
      </c>
      <c r="B63" s="6" t="str">
        <f>INDEX(Company_Master!$C$2:$C$101,MATCH(Company_Master!C63,Company_Master!$C$2:$C$101,0))</f>
        <v>Technology</v>
      </c>
      <c r="C63" s="6" t="str">
        <f>_xlfn.XLOOKUP(A63,A63:A162,Company_Master!D63:D162,0)</f>
        <v>USA</v>
      </c>
      <c r="D63" s="6">
        <f>INDEX(Company_Master!$A$2:$H$101,MATCH(Company_Master!F63,Company_Master!$F$2:$F$101,0),6)</f>
        <v>4096</v>
      </c>
      <c r="E63" s="6">
        <f>_xlfn.XLOOKUP(Governance!E63,Governance!$E$2:$E$101,Governance!$E$2:$E$101,0)</f>
        <v>36</v>
      </c>
      <c r="F63" s="6">
        <f>INDEX(Environmental!$A$2:$I$101,MATCH(Environmental!C63,Environmental!$C$2:$C$101,0),3)</f>
        <v>7781</v>
      </c>
      <c r="G63" s="6">
        <f>INDEX(Environmental!$A$2:$I$101,MATCH(Environmental!D63,Environmental!$D$2:$D$101,0),4)</f>
        <v>2140</v>
      </c>
      <c r="H63" s="6">
        <f>INDEX(Environmental!$A$2:$I$101,MATCH(Environmental!E63,Environmental!$E$2:$E$101,0),5)</f>
        <v>36232</v>
      </c>
      <c r="I63" s="6">
        <f>INDEX(Environmental!$A$2:$I$101,MATCH(Environmental!G63,Environmental!$G$2:$G$101,0),7)</f>
        <v>47</v>
      </c>
      <c r="J63" s="6">
        <f>INDEX(Social!$A$2:$G$101,MATCH(Social!C63,Social!$C$2:$C$101,0),3)</f>
        <v>32</v>
      </c>
      <c r="K63" s="6">
        <f>INDEX(Governance!$A$2:$F$101,MATCH(Governance!B63,Governance!$B$2:$B$101,0),2)</f>
        <v>83</v>
      </c>
      <c r="L63" s="6" t="str">
        <f>INDEX(Governance!A63:C162,1,3)</f>
        <v>Yes</v>
      </c>
    </row>
    <row r="64" spans="1:31" x14ac:dyDescent="0.35">
      <c r="A64" s="6">
        <f>INDEX(Company_Master!$A$2:$A$101,MATCH(Company_Master!A64,Company_Master!$A$2:$A$101,0))</f>
        <v>63</v>
      </c>
      <c r="B64" s="6" t="str">
        <f>INDEX(Company_Master!$C$2:$C$101,MATCH(Company_Master!C64,Company_Master!$C$2:$C$101,0))</f>
        <v>Technology</v>
      </c>
      <c r="C64" s="6" t="str">
        <f>_xlfn.XLOOKUP(A64,A64:A163,Company_Master!D64:D163,0)</f>
        <v>Japan</v>
      </c>
      <c r="D64" s="6">
        <f>INDEX(Company_Master!$A$2:$H$101,MATCH(Company_Master!F64,Company_Master!$F$2:$F$101,0),6)</f>
        <v>14629</v>
      </c>
      <c r="E64" s="6">
        <f>_xlfn.XLOOKUP(Governance!E64,Governance!$E$2:$E$101,Governance!$E$2:$E$101,0)</f>
        <v>36</v>
      </c>
      <c r="F64" s="6">
        <f>INDEX(Environmental!$A$2:$I$101,MATCH(Environmental!C64,Environmental!$C$2:$C$101,0),3)</f>
        <v>7033</v>
      </c>
      <c r="G64" s="6">
        <f>INDEX(Environmental!$A$2:$I$101,MATCH(Environmental!D64,Environmental!$D$2:$D$101,0),4)</f>
        <v>169</v>
      </c>
      <c r="H64" s="6">
        <f>INDEX(Environmental!$A$2:$I$101,MATCH(Environmental!E64,Environmental!$E$2:$E$101,0),5)</f>
        <v>45002</v>
      </c>
      <c r="I64" s="6">
        <f>INDEX(Environmental!$A$2:$I$101,MATCH(Environmental!G64,Environmental!$G$2:$G$101,0),7)</f>
        <v>76</v>
      </c>
      <c r="J64" s="6">
        <f>INDEX(Social!$A$2:$G$101,MATCH(Social!C64,Social!$C$2:$C$101,0),3)</f>
        <v>25</v>
      </c>
      <c r="K64" s="6">
        <f>INDEX(Governance!$A$2:$F$101,MATCH(Governance!B64,Governance!$B$2:$B$101,0),2)</f>
        <v>79</v>
      </c>
      <c r="L64" s="6" t="str">
        <f>INDEX(Governance!A64:C163,1,3)</f>
        <v>No</v>
      </c>
    </row>
    <row r="65" spans="1:12" x14ac:dyDescent="0.35">
      <c r="A65" s="6">
        <f>INDEX(Company_Master!$A$2:$A$101,MATCH(Company_Master!A65,Company_Master!$A$2:$A$101,0))</f>
        <v>64</v>
      </c>
      <c r="B65" s="6" t="str">
        <f>INDEX(Company_Master!$C$2:$C$101,MATCH(Company_Master!C65,Company_Master!$C$2:$C$101,0))</f>
        <v>Technology</v>
      </c>
      <c r="C65" s="6" t="str">
        <f>_xlfn.XLOOKUP(A65,A65:A164,Company_Master!D65:D164,0)</f>
        <v>Germany</v>
      </c>
      <c r="D65" s="6">
        <f>INDEX(Company_Master!$A$2:$H$101,MATCH(Company_Master!F65,Company_Master!$F$2:$F$101,0),6)</f>
        <v>17656</v>
      </c>
      <c r="E65" s="6">
        <f>_xlfn.XLOOKUP(Governance!E65,Governance!$E$2:$E$101,Governance!$E$2:$E$101,0)</f>
        <v>45</v>
      </c>
      <c r="F65" s="6">
        <f>INDEX(Environmental!$A$2:$I$101,MATCH(Environmental!C65,Environmental!$C$2:$C$101,0),3)</f>
        <v>7505</v>
      </c>
      <c r="G65" s="6">
        <f>INDEX(Environmental!$A$2:$I$101,MATCH(Environmental!D65,Environmental!$D$2:$D$101,0),4)</f>
        <v>4909</v>
      </c>
      <c r="H65" s="6">
        <f>INDEX(Environmental!$A$2:$I$101,MATCH(Environmental!E65,Environmental!$E$2:$E$101,0),5)</f>
        <v>5281</v>
      </c>
      <c r="I65" s="6">
        <f>INDEX(Environmental!$A$2:$I$101,MATCH(Environmental!G65,Environmental!$G$2:$G$101,0),7)</f>
        <v>13</v>
      </c>
      <c r="J65" s="6">
        <f>INDEX(Social!$A$2:$G$101,MATCH(Social!C65,Social!$C$2:$C$101,0),3)</f>
        <v>39</v>
      </c>
      <c r="K65" s="6">
        <f>INDEX(Governance!$A$2:$F$101,MATCH(Governance!B65,Governance!$B$2:$B$101,0),2)</f>
        <v>47</v>
      </c>
      <c r="L65" s="6" t="str">
        <f>INDEX(Governance!A65:C164,1,3)</f>
        <v>No</v>
      </c>
    </row>
    <row r="66" spans="1:12" x14ac:dyDescent="0.35">
      <c r="A66" s="6">
        <f>INDEX(Company_Master!$A$2:$A$101,MATCH(Company_Master!A66,Company_Master!$A$2:$A$101,0))</f>
        <v>65</v>
      </c>
      <c r="B66" s="6" t="str">
        <f>INDEX(Company_Master!$C$2:$C$101,MATCH(Company_Master!C66,Company_Master!$C$2:$C$101,0))</f>
        <v>Manufacturing</v>
      </c>
      <c r="C66" s="6" t="str">
        <f>_xlfn.XLOOKUP(A66,A66:A165,Company_Master!D66:D165,0)</f>
        <v>Germany</v>
      </c>
      <c r="D66" s="6">
        <f>INDEX(Company_Master!$A$2:$H$101,MATCH(Company_Master!F66,Company_Master!$F$2:$F$101,0),6)</f>
        <v>6797</v>
      </c>
      <c r="E66" s="6">
        <f>_xlfn.XLOOKUP(Governance!E66,Governance!$E$2:$E$101,Governance!$E$2:$E$101,0)</f>
        <v>81</v>
      </c>
      <c r="F66" s="6">
        <f>INDEX(Environmental!$A$2:$I$101,MATCH(Environmental!C66,Environmental!$C$2:$C$101,0),3)</f>
        <v>3563</v>
      </c>
      <c r="G66" s="6">
        <f>INDEX(Environmental!$A$2:$I$101,MATCH(Environmental!D66,Environmental!$D$2:$D$101,0),4)</f>
        <v>4771</v>
      </c>
      <c r="H66" s="6">
        <f>INDEX(Environmental!$A$2:$I$101,MATCH(Environmental!E66,Environmental!$E$2:$E$101,0),5)</f>
        <v>48272</v>
      </c>
      <c r="I66" s="6">
        <f>INDEX(Environmental!$A$2:$I$101,MATCH(Environmental!G66,Environmental!$G$2:$G$101,0),7)</f>
        <v>82</v>
      </c>
      <c r="J66" s="6">
        <f>INDEX(Social!$A$2:$G$101,MATCH(Social!C66,Social!$C$2:$C$101,0),3)</f>
        <v>25</v>
      </c>
      <c r="K66" s="6">
        <f>INDEX(Governance!$A$2:$F$101,MATCH(Governance!B66,Governance!$B$2:$B$101,0),2)</f>
        <v>43</v>
      </c>
      <c r="L66" s="6" t="str">
        <f>INDEX(Governance!A66:C165,1,3)</f>
        <v>Yes</v>
      </c>
    </row>
    <row r="67" spans="1:12" x14ac:dyDescent="0.35">
      <c r="A67" s="6">
        <f>INDEX(Company_Master!$A$2:$A$101,MATCH(Company_Master!A67,Company_Master!$A$2:$A$101,0))</f>
        <v>66</v>
      </c>
      <c r="B67" s="6" t="str">
        <f>INDEX(Company_Master!$C$2:$C$101,MATCH(Company_Master!C67,Company_Master!$C$2:$C$101,0))</f>
        <v>Technology</v>
      </c>
      <c r="C67" s="6" t="str">
        <f>_xlfn.XLOOKUP(A67,A67:A166,Company_Master!D67:D166,0)</f>
        <v>Canada</v>
      </c>
      <c r="D67" s="6">
        <f>INDEX(Company_Master!$A$2:$H$101,MATCH(Company_Master!F67,Company_Master!$F$2:$F$101,0),6)</f>
        <v>19696</v>
      </c>
      <c r="E67" s="6">
        <f>_xlfn.XLOOKUP(Governance!E67,Governance!$E$2:$E$101,Governance!$E$2:$E$101,0)</f>
        <v>91</v>
      </c>
      <c r="F67" s="6">
        <f>INDEX(Environmental!$A$2:$I$101,MATCH(Environmental!C67,Environmental!$C$2:$C$101,0),3)</f>
        <v>6525</v>
      </c>
      <c r="G67" s="6">
        <f>INDEX(Environmental!$A$2:$I$101,MATCH(Environmental!D67,Environmental!$D$2:$D$101,0),4)</f>
        <v>4753</v>
      </c>
      <c r="H67" s="6">
        <f>INDEX(Environmental!$A$2:$I$101,MATCH(Environmental!E67,Environmental!$E$2:$E$101,0),5)</f>
        <v>27919</v>
      </c>
      <c r="I67" s="6">
        <f>INDEX(Environmental!$A$2:$I$101,MATCH(Environmental!G67,Environmental!$G$2:$G$101,0),7)</f>
        <v>80</v>
      </c>
      <c r="J67" s="6">
        <f>INDEX(Social!$A$2:$G$101,MATCH(Social!C67,Social!$C$2:$C$101,0),3)</f>
        <v>23</v>
      </c>
      <c r="K67" s="6">
        <f>INDEX(Governance!$A$2:$F$101,MATCH(Governance!B67,Governance!$B$2:$B$101,0),2)</f>
        <v>82</v>
      </c>
      <c r="L67" s="6" t="str">
        <f>INDEX(Governance!A67:C166,1,3)</f>
        <v>Yes</v>
      </c>
    </row>
    <row r="68" spans="1:12" x14ac:dyDescent="0.35">
      <c r="A68" s="6">
        <f>INDEX(Company_Master!$A$2:$A$101,MATCH(Company_Master!A68,Company_Master!$A$2:$A$101,0))</f>
        <v>67</v>
      </c>
      <c r="B68" s="6" t="str">
        <f>INDEX(Company_Master!$C$2:$C$101,MATCH(Company_Master!C68,Company_Master!$C$2:$C$101,0))</f>
        <v>Energy</v>
      </c>
      <c r="C68" s="6" t="str">
        <f>_xlfn.XLOOKUP(A68,A68:A167,Company_Master!D68:D167,0)</f>
        <v>Australia</v>
      </c>
      <c r="D68" s="6">
        <f>INDEX(Company_Master!$A$2:$H$101,MATCH(Company_Master!F68,Company_Master!$F$2:$F$101,0),6)</f>
        <v>9287</v>
      </c>
      <c r="E68" s="6">
        <f>_xlfn.XLOOKUP(Governance!E68,Governance!$E$2:$E$101,Governance!$E$2:$E$101,0)</f>
        <v>65</v>
      </c>
      <c r="F68" s="6">
        <f>INDEX(Environmental!$A$2:$I$101,MATCH(Environmental!C68,Environmental!$C$2:$C$101,0),3)</f>
        <v>2853</v>
      </c>
      <c r="G68" s="6">
        <f>INDEX(Environmental!$A$2:$I$101,MATCH(Environmental!D68,Environmental!$D$2:$D$101,0),4)</f>
        <v>4050</v>
      </c>
      <c r="H68" s="6">
        <f>INDEX(Environmental!$A$2:$I$101,MATCH(Environmental!E68,Environmental!$E$2:$E$101,0),5)</f>
        <v>20900</v>
      </c>
      <c r="I68" s="6">
        <f>INDEX(Environmental!$A$2:$I$101,MATCH(Environmental!G68,Environmental!$G$2:$G$101,0),7)</f>
        <v>76</v>
      </c>
      <c r="J68" s="6">
        <f>INDEX(Social!$A$2:$G$101,MATCH(Social!C68,Social!$C$2:$C$101,0),3)</f>
        <v>58</v>
      </c>
      <c r="K68" s="6">
        <f>INDEX(Governance!$A$2:$F$101,MATCH(Governance!B68,Governance!$B$2:$B$101,0),2)</f>
        <v>89</v>
      </c>
      <c r="L68" s="6" t="str">
        <f>INDEX(Governance!A68:C167,1,3)</f>
        <v>Yes</v>
      </c>
    </row>
    <row r="69" spans="1:12" x14ac:dyDescent="0.35">
      <c r="A69" s="6">
        <f>INDEX(Company_Master!$A$2:$A$101,MATCH(Company_Master!A69,Company_Master!$A$2:$A$101,0))</f>
        <v>68</v>
      </c>
      <c r="B69" s="6" t="str">
        <f>INDEX(Company_Master!$C$2:$C$101,MATCH(Company_Master!C69,Company_Master!$C$2:$C$101,0))</f>
        <v>Healthcare</v>
      </c>
      <c r="C69" s="6" t="str">
        <f>_xlfn.XLOOKUP(A69,A69:A168,Company_Master!D69:D168,0)</f>
        <v>Australia</v>
      </c>
      <c r="D69" s="6">
        <f>INDEX(Company_Master!$A$2:$H$101,MATCH(Company_Master!F69,Company_Master!$F$2:$F$101,0),6)</f>
        <v>3480</v>
      </c>
      <c r="E69" s="6">
        <f>_xlfn.XLOOKUP(Governance!E69,Governance!$E$2:$E$101,Governance!$E$2:$E$101,0)</f>
        <v>65</v>
      </c>
      <c r="F69" s="6">
        <f>INDEX(Environmental!$A$2:$I$101,MATCH(Environmental!C69,Environmental!$C$2:$C$101,0),3)</f>
        <v>4984</v>
      </c>
      <c r="G69" s="6">
        <f>INDEX(Environmental!$A$2:$I$101,MATCH(Environmental!D69,Environmental!$D$2:$D$101,0),4)</f>
        <v>3524</v>
      </c>
      <c r="H69" s="6">
        <f>INDEX(Environmental!$A$2:$I$101,MATCH(Environmental!E69,Environmental!$E$2:$E$101,0),5)</f>
        <v>10052</v>
      </c>
      <c r="I69" s="6">
        <f>INDEX(Environmental!$A$2:$I$101,MATCH(Environmental!G69,Environmental!$G$2:$G$101,0),7)</f>
        <v>6</v>
      </c>
      <c r="J69" s="6">
        <f>INDEX(Social!$A$2:$G$101,MATCH(Social!C69,Social!$C$2:$C$101,0),3)</f>
        <v>51</v>
      </c>
      <c r="K69" s="6">
        <f>INDEX(Governance!$A$2:$F$101,MATCH(Governance!B69,Governance!$B$2:$B$101,0),2)</f>
        <v>87</v>
      </c>
      <c r="L69" s="6" t="str">
        <f>INDEX(Governance!A69:C168,1,3)</f>
        <v>Yes</v>
      </c>
    </row>
    <row r="70" spans="1:12" x14ac:dyDescent="0.35">
      <c r="A70" s="6">
        <f>INDEX(Company_Master!$A$2:$A$101,MATCH(Company_Master!A70,Company_Master!$A$2:$A$101,0))</f>
        <v>69</v>
      </c>
      <c r="B70" s="6" t="str">
        <f>INDEX(Company_Master!$C$2:$C$101,MATCH(Company_Master!C70,Company_Master!$C$2:$C$101,0))</f>
        <v>Retail</v>
      </c>
      <c r="C70" s="6" t="str">
        <f>_xlfn.XLOOKUP(A70,A70:A169,Company_Master!D70:D169,0)</f>
        <v>UK</v>
      </c>
      <c r="D70" s="6">
        <f>INDEX(Company_Master!$A$2:$H$101,MATCH(Company_Master!F70,Company_Master!$F$2:$F$101,0),6)</f>
        <v>27243</v>
      </c>
      <c r="E70" s="6">
        <f>_xlfn.XLOOKUP(Governance!E70,Governance!$E$2:$E$101,Governance!$E$2:$E$101,0)</f>
        <v>47</v>
      </c>
      <c r="F70" s="6">
        <f>INDEX(Environmental!$A$2:$I$101,MATCH(Environmental!C70,Environmental!$C$2:$C$101,0),3)</f>
        <v>1563</v>
      </c>
      <c r="G70" s="6">
        <f>INDEX(Environmental!$A$2:$I$101,MATCH(Environmental!D70,Environmental!$D$2:$D$101,0),4)</f>
        <v>3980</v>
      </c>
      <c r="H70" s="6">
        <f>INDEX(Environmental!$A$2:$I$101,MATCH(Environmental!E70,Environmental!$E$2:$E$101,0),5)</f>
        <v>43614</v>
      </c>
      <c r="I70" s="6">
        <f>INDEX(Environmental!$A$2:$I$101,MATCH(Environmental!G70,Environmental!$G$2:$G$101,0),7)</f>
        <v>83</v>
      </c>
      <c r="J70" s="6">
        <f>INDEX(Social!$A$2:$G$101,MATCH(Social!C70,Social!$C$2:$C$101,0),3)</f>
        <v>50</v>
      </c>
      <c r="K70" s="6">
        <f>INDEX(Governance!$A$2:$F$101,MATCH(Governance!B70,Governance!$B$2:$B$101,0),2)</f>
        <v>56</v>
      </c>
      <c r="L70" s="6" t="str">
        <f>INDEX(Governance!A70:C169,1,3)</f>
        <v>No</v>
      </c>
    </row>
    <row r="71" spans="1:12" x14ac:dyDescent="0.35">
      <c r="A71" s="6">
        <f>INDEX(Company_Master!$A$2:$A$101,MATCH(Company_Master!A71,Company_Master!$A$2:$A$101,0))</f>
        <v>70</v>
      </c>
      <c r="B71" s="6" t="str">
        <f>INDEX(Company_Master!$C$2:$C$101,MATCH(Company_Master!C71,Company_Master!$C$2:$C$101,0))</f>
        <v>Finance</v>
      </c>
      <c r="C71" s="6" t="str">
        <f>_xlfn.XLOOKUP(A71,A71:A170,Company_Master!D71:D170,0)</f>
        <v>UK</v>
      </c>
      <c r="D71" s="6">
        <f>INDEX(Company_Master!$A$2:$H$101,MATCH(Company_Master!F71,Company_Master!$F$2:$F$101,0),6)</f>
        <v>15607</v>
      </c>
      <c r="E71" s="6">
        <f>_xlfn.XLOOKUP(Governance!E71,Governance!$E$2:$E$101,Governance!$E$2:$E$101,0)</f>
        <v>65</v>
      </c>
      <c r="F71" s="6">
        <f>INDEX(Environmental!$A$2:$I$101,MATCH(Environmental!C71,Environmental!$C$2:$C$101,0),3)</f>
        <v>3793</v>
      </c>
      <c r="G71" s="6">
        <f>INDEX(Environmental!$A$2:$I$101,MATCH(Environmental!D71,Environmental!$D$2:$D$101,0),4)</f>
        <v>4422</v>
      </c>
      <c r="H71" s="6">
        <f>INDEX(Environmental!$A$2:$I$101,MATCH(Environmental!E71,Environmental!$E$2:$E$101,0),5)</f>
        <v>9792</v>
      </c>
      <c r="I71" s="6">
        <f>INDEX(Environmental!$A$2:$I$101,MATCH(Environmental!G71,Environmental!$G$2:$G$101,0),7)</f>
        <v>14</v>
      </c>
      <c r="J71" s="6">
        <f>INDEX(Social!$A$2:$G$101,MATCH(Social!C71,Social!$C$2:$C$101,0),3)</f>
        <v>22</v>
      </c>
      <c r="K71" s="6">
        <f>INDEX(Governance!$A$2:$F$101,MATCH(Governance!B71,Governance!$B$2:$B$101,0),2)</f>
        <v>48</v>
      </c>
      <c r="L71" s="6" t="str">
        <f>INDEX(Governance!A71:C170,1,3)</f>
        <v>No</v>
      </c>
    </row>
    <row r="72" spans="1:12" x14ac:dyDescent="0.35">
      <c r="A72" s="6">
        <f>INDEX(Company_Master!$A$2:$A$101,MATCH(Company_Master!A72,Company_Master!$A$2:$A$101,0))</f>
        <v>71</v>
      </c>
      <c r="B72" s="6" t="str">
        <f>INDEX(Company_Master!$C$2:$C$101,MATCH(Company_Master!C72,Company_Master!$C$2:$C$101,0))</f>
        <v>Technology</v>
      </c>
      <c r="C72" s="6" t="str">
        <f>_xlfn.XLOOKUP(A72,A72:A171,Company_Master!D72:D171,0)</f>
        <v>UK</v>
      </c>
      <c r="D72" s="6">
        <f>INDEX(Company_Master!$A$2:$H$101,MATCH(Company_Master!F72,Company_Master!$F$2:$F$101,0),6)</f>
        <v>18248</v>
      </c>
      <c r="E72" s="6">
        <f>_xlfn.XLOOKUP(Governance!E72,Governance!$E$2:$E$101,Governance!$E$2:$E$101,0)</f>
        <v>63</v>
      </c>
      <c r="F72" s="6">
        <f>INDEX(Environmental!$A$2:$I$101,MATCH(Environmental!C72,Environmental!$C$2:$C$101,0),3)</f>
        <v>2935</v>
      </c>
      <c r="G72" s="6">
        <f>INDEX(Environmental!$A$2:$I$101,MATCH(Environmental!D72,Environmental!$D$2:$D$101,0),4)</f>
        <v>4745</v>
      </c>
      <c r="H72" s="6">
        <f>INDEX(Environmental!$A$2:$I$101,MATCH(Environmental!E72,Environmental!$E$2:$E$101,0),5)</f>
        <v>18396</v>
      </c>
      <c r="I72" s="6">
        <f>INDEX(Environmental!$A$2:$I$101,MATCH(Environmental!G72,Environmental!$G$2:$G$101,0),7)</f>
        <v>56</v>
      </c>
      <c r="J72" s="6">
        <f>INDEX(Social!$A$2:$G$101,MATCH(Social!C72,Social!$C$2:$C$101,0),3)</f>
        <v>40</v>
      </c>
      <c r="K72" s="6">
        <f>INDEX(Governance!$A$2:$F$101,MATCH(Governance!B72,Governance!$B$2:$B$101,0),2)</f>
        <v>100</v>
      </c>
      <c r="L72" s="6" t="str">
        <f>INDEX(Governance!A72:C171,1,3)</f>
        <v>Yes</v>
      </c>
    </row>
    <row r="73" spans="1:12" x14ac:dyDescent="0.35">
      <c r="A73" s="6">
        <f>INDEX(Company_Master!$A$2:$A$101,MATCH(Company_Master!A73,Company_Master!$A$2:$A$101,0))</f>
        <v>72</v>
      </c>
      <c r="B73" s="6" t="str">
        <f>INDEX(Company_Master!$C$2:$C$101,MATCH(Company_Master!C73,Company_Master!$C$2:$C$101,0))</f>
        <v>Retail</v>
      </c>
      <c r="C73" s="6" t="str">
        <f>_xlfn.XLOOKUP(A73,A73:A172,Company_Master!D73:D172,0)</f>
        <v>Canada</v>
      </c>
      <c r="D73" s="6">
        <f>INDEX(Company_Master!$A$2:$H$101,MATCH(Company_Master!F73,Company_Master!$F$2:$F$101,0),6)</f>
        <v>12822</v>
      </c>
      <c r="E73" s="6">
        <f>_xlfn.XLOOKUP(Governance!E73,Governance!$E$2:$E$101,Governance!$E$2:$E$101,0)</f>
        <v>61</v>
      </c>
      <c r="F73" s="6">
        <f>INDEX(Environmental!$A$2:$I$101,MATCH(Environmental!C73,Environmental!$C$2:$C$101,0),3)</f>
        <v>6543</v>
      </c>
      <c r="G73" s="6">
        <f>INDEX(Environmental!$A$2:$I$101,MATCH(Environmental!D73,Environmental!$D$2:$D$101,0),4)</f>
        <v>3910</v>
      </c>
      <c r="H73" s="6">
        <f>INDEX(Environmental!$A$2:$I$101,MATCH(Environmental!E73,Environmental!$E$2:$E$101,0),5)</f>
        <v>13855</v>
      </c>
      <c r="I73" s="6">
        <f>INDEX(Environmental!$A$2:$I$101,MATCH(Environmental!G73,Environmental!$G$2:$G$101,0),7)</f>
        <v>98</v>
      </c>
      <c r="J73" s="6">
        <f>INDEX(Social!$A$2:$G$101,MATCH(Social!C73,Social!$C$2:$C$101,0),3)</f>
        <v>37</v>
      </c>
      <c r="K73" s="6">
        <f>INDEX(Governance!$A$2:$F$101,MATCH(Governance!B73,Governance!$B$2:$B$101,0),2)</f>
        <v>55</v>
      </c>
      <c r="L73" s="6" t="str">
        <f>INDEX(Governance!A73:C172,1,3)</f>
        <v>Yes</v>
      </c>
    </row>
    <row r="74" spans="1:12" x14ac:dyDescent="0.35">
      <c r="A74" s="6">
        <f>INDEX(Company_Master!$A$2:$A$101,MATCH(Company_Master!A74,Company_Master!$A$2:$A$101,0))</f>
        <v>73</v>
      </c>
      <c r="B74" s="6" t="str">
        <f>INDEX(Company_Master!$C$2:$C$101,MATCH(Company_Master!C74,Company_Master!$C$2:$C$101,0))</f>
        <v>Technology</v>
      </c>
      <c r="C74" s="6" t="str">
        <f>_xlfn.XLOOKUP(A74,A74:A173,Company_Master!D74:D173,0)</f>
        <v>Canada</v>
      </c>
      <c r="D74" s="6">
        <f>INDEX(Company_Master!$A$2:$H$101,MATCH(Company_Master!F74,Company_Master!$F$2:$F$101,0),6)</f>
        <v>11324</v>
      </c>
      <c r="E74" s="6">
        <f>_xlfn.XLOOKUP(Governance!E74,Governance!$E$2:$E$101,Governance!$E$2:$E$101,0)</f>
        <v>38</v>
      </c>
      <c r="F74" s="6">
        <f>INDEX(Environmental!$A$2:$I$101,MATCH(Environmental!C74,Environmental!$C$2:$C$101,0),3)</f>
        <v>868</v>
      </c>
      <c r="G74" s="6">
        <f>INDEX(Environmental!$A$2:$I$101,MATCH(Environmental!D74,Environmental!$D$2:$D$101,0),4)</f>
        <v>1224</v>
      </c>
      <c r="H74" s="6">
        <f>INDEX(Environmental!$A$2:$I$101,MATCH(Environmental!E74,Environmental!$E$2:$E$101,0),5)</f>
        <v>17955</v>
      </c>
      <c r="I74" s="6">
        <f>INDEX(Environmental!$A$2:$I$101,MATCH(Environmental!G74,Environmental!$G$2:$G$101,0),7)</f>
        <v>64</v>
      </c>
      <c r="J74" s="6">
        <f>INDEX(Social!$A$2:$G$101,MATCH(Social!C74,Social!$C$2:$C$101,0),3)</f>
        <v>24</v>
      </c>
      <c r="K74" s="6">
        <f>INDEX(Governance!$A$2:$F$101,MATCH(Governance!B74,Governance!$B$2:$B$101,0),2)</f>
        <v>77</v>
      </c>
      <c r="L74" s="6" t="str">
        <f>INDEX(Governance!A74:C173,1,3)</f>
        <v>No</v>
      </c>
    </row>
    <row r="75" spans="1:12" x14ac:dyDescent="0.35">
      <c r="A75" s="6">
        <f>INDEX(Company_Master!$A$2:$A$101,MATCH(Company_Master!A75,Company_Master!$A$2:$A$101,0))</f>
        <v>74</v>
      </c>
      <c r="B75" s="6" t="str">
        <f>INDEX(Company_Master!$C$2:$C$101,MATCH(Company_Master!C75,Company_Master!$C$2:$C$101,0))</f>
        <v>Energy</v>
      </c>
      <c r="C75" s="6" t="str">
        <f>_xlfn.XLOOKUP(A75,A75:A174,Company_Master!D75:D174,0)</f>
        <v>Germany</v>
      </c>
      <c r="D75" s="6">
        <f>INDEX(Company_Master!$A$2:$H$101,MATCH(Company_Master!F75,Company_Master!$F$2:$F$101,0),6)</f>
        <v>9971</v>
      </c>
      <c r="E75" s="6">
        <f>_xlfn.XLOOKUP(Governance!E75,Governance!$E$2:$E$101,Governance!$E$2:$E$101,0)</f>
        <v>48</v>
      </c>
      <c r="F75" s="6">
        <f>INDEX(Environmental!$A$2:$I$101,MATCH(Environmental!C75,Environmental!$C$2:$C$101,0),3)</f>
        <v>6790</v>
      </c>
      <c r="G75" s="6">
        <f>INDEX(Environmental!$A$2:$I$101,MATCH(Environmental!D75,Environmental!$D$2:$D$101,0),4)</f>
        <v>3035</v>
      </c>
      <c r="H75" s="6">
        <f>INDEX(Environmental!$A$2:$I$101,MATCH(Environmental!E75,Environmental!$E$2:$E$101,0),5)</f>
        <v>25702</v>
      </c>
      <c r="I75" s="6">
        <f>INDEX(Environmental!$A$2:$I$101,MATCH(Environmental!G75,Environmental!$G$2:$G$101,0),7)</f>
        <v>94</v>
      </c>
      <c r="J75" s="6">
        <f>INDEX(Social!$A$2:$G$101,MATCH(Social!C75,Social!$C$2:$C$101,0),3)</f>
        <v>42</v>
      </c>
      <c r="K75" s="6">
        <f>INDEX(Governance!$A$2:$F$101,MATCH(Governance!B75,Governance!$B$2:$B$101,0),2)</f>
        <v>70</v>
      </c>
      <c r="L75" s="6" t="str">
        <f>INDEX(Governance!A75:C174,1,3)</f>
        <v>No</v>
      </c>
    </row>
    <row r="76" spans="1:12" x14ac:dyDescent="0.35">
      <c r="A76" s="6">
        <f>INDEX(Company_Master!$A$2:$A$101,MATCH(Company_Master!A76,Company_Master!$A$2:$A$101,0))</f>
        <v>75</v>
      </c>
      <c r="B76" s="6" t="str">
        <f>INDEX(Company_Master!$C$2:$C$101,MATCH(Company_Master!C76,Company_Master!$C$2:$C$101,0))</f>
        <v>Healthcare</v>
      </c>
      <c r="C76" s="6" t="str">
        <f>_xlfn.XLOOKUP(A76,A76:A175,Company_Master!D76:D175,0)</f>
        <v>Canada</v>
      </c>
      <c r="D76" s="6">
        <f>INDEX(Company_Master!$A$2:$H$101,MATCH(Company_Master!F76,Company_Master!$F$2:$F$101,0),6)</f>
        <v>7637</v>
      </c>
      <c r="E76" s="6">
        <f>_xlfn.XLOOKUP(Governance!E76,Governance!$E$2:$E$101,Governance!$E$2:$E$101,0)</f>
        <v>85</v>
      </c>
      <c r="F76" s="6">
        <f>INDEX(Environmental!$A$2:$I$101,MATCH(Environmental!C76,Environmental!$C$2:$C$101,0),3)</f>
        <v>1934</v>
      </c>
      <c r="G76" s="6">
        <f>INDEX(Environmental!$A$2:$I$101,MATCH(Environmental!D76,Environmental!$D$2:$D$101,0),4)</f>
        <v>731</v>
      </c>
      <c r="H76" s="6">
        <f>INDEX(Environmental!$A$2:$I$101,MATCH(Environmental!E76,Environmental!$E$2:$E$101,0),5)</f>
        <v>43294</v>
      </c>
      <c r="I76" s="6">
        <f>INDEX(Environmental!$A$2:$I$101,MATCH(Environmental!G76,Environmental!$G$2:$G$101,0),7)</f>
        <v>34</v>
      </c>
      <c r="J76" s="6">
        <f>INDEX(Social!$A$2:$G$101,MATCH(Social!C76,Social!$C$2:$C$101,0),3)</f>
        <v>53</v>
      </c>
      <c r="K76" s="6">
        <f>INDEX(Governance!$A$2:$F$101,MATCH(Governance!B76,Governance!$B$2:$B$101,0),2)</f>
        <v>90</v>
      </c>
      <c r="L76" s="6" t="str">
        <f>INDEX(Governance!A76:C175,1,3)</f>
        <v>No</v>
      </c>
    </row>
    <row r="77" spans="1:12" x14ac:dyDescent="0.35">
      <c r="A77" s="6">
        <f>INDEX(Company_Master!$A$2:$A$101,MATCH(Company_Master!A77,Company_Master!$A$2:$A$101,0))</f>
        <v>76</v>
      </c>
      <c r="B77" s="6" t="str">
        <f>INDEX(Company_Master!$C$2:$C$101,MATCH(Company_Master!C77,Company_Master!$C$2:$C$101,0))</f>
        <v>Retail</v>
      </c>
      <c r="C77" s="6" t="str">
        <f>_xlfn.XLOOKUP(A77,A77:A176,Company_Master!D77:D176,0)</f>
        <v>Germany</v>
      </c>
      <c r="D77" s="6">
        <f>INDEX(Company_Master!$A$2:$H$101,MATCH(Company_Master!F77,Company_Master!$F$2:$F$101,0),6)</f>
        <v>13709</v>
      </c>
      <c r="E77" s="6">
        <f>_xlfn.XLOOKUP(Governance!E77,Governance!$E$2:$E$101,Governance!$E$2:$E$101,0)</f>
        <v>83</v>
      </c>
      <c r="F77" s="6">
        <f>INDEX(Environmental!$A$2:$I$101,MATCH(Environmental!C77,Environmental!$C$2:$C$101,0),3)</f>
        <v>4444</v>
      </c>
      <c r="G77" s="6">
        <f>INDEX(Environmental!$A$2:$I$101,MATCH(Environmental!D77,Environmental!$D$2:$D$101,0),4)</f>
        <v>3594</v>
      </c>
      <c r="H77" s="6">
        <f>INDEX(Environmental!$A$2:$I$101,MATCH(Environmental!E77,Environmental!$E$2:$E$101,0),5)</f>
        <v>33790</v>
      </c>
      <c r="I77" s="6">
        <f>INDEX(Environmental!$A$2:$I$101,MATCH(Environmental!G77,Environmental!$G$2:$G$101,0),7)</f>
        <v>79</v>
      </c>
      <c r="J77" s="6">
        <f>INDEX(Social!$A$2:$G$101,MATCH(Social!C77,Social!$C$2:$C$101,0),3)</f>
        <v>58</v>
      </c>
      <c r="K77" s="6">
        <f>INDEX(Governance!$A$2:$F$101,MATCH(Governance!B77,Governance!$B$2:$B$101,0),2)</f>
        <v>62</v>
      </c>
      <c r="L77" s="6" t="str">
        <f>INDEX(Governance!A77:C176,1,3)</f>
        <v>Yes</v>
      </c>
    </row>
    <row r="78" spans="1:12" x14ac:dyDescent="0.35">
      <c r="A78" s="6">
        <f>INDEX(Company_Master!$A$2:$A$101,MATCH(Company_Master!A78,Company_Master!$A$2:$A$101,0))</f>
        <v>77</v>
      </c>
      <c r="B78" s="6" t="str">
        <f>INDEX(Company_Master!$C$2:$C$101,MATCH(Company_Master!C78,Company_Master!$C$2:$C$101,0))</f>
        <v>Energy</v>
      </c>
      <c r="C78" s="6" t="str">
        <f>_xlfn.XLOOKUP(A78,A78:A177,Company_Master!D78:D177,0)</f>
        <v>Germany</v>
      </c>
      <c r="D78" s="6">
        <f>INDEX(Company_Master!$A$2:$H$101,MATCH(Company_Master!F78,Company_Master!$F$2:$F$101,0),6)</f>
        <v>712</v>
      </c>
      <c r="E78" s="6">
        <f>_xlfn.XLOOKUP(Governance!E78,Governance!$E$2:$E$101,Governance!$E$2:$E$101,0)</f>
        <v>78</v>
      </c>
      <c r="F78" s="6">
        <f>INDEX(Environmental!$A$2:$I$101,MATCH(Environmental!C78,Environmental!$C$2:$C$101,0),3)</f>
        <v>626</v>
      </c>
      <c r="G78" s="6">
        <f>INDEX(Environmental!$A$2:$I$101,MATCH(Environmental!D78,Environmental!$D$2:$D$101,0),4)</f>
        <v>1793</v>
      </c>
      <c r="H78" s="6">
        <f>INDEX(Environmental!$A$2:$I$101,MATCH(Environmental!E78,Environmental!$E$2:$E$101,0),5)</f>
        <v>43483</v>
      </c>
      <c r="I78" s="6">
        <f>INDEX(Environmental!$A$2:$I$101,MATCH(Environmental!G78,Environmental!$G$2:$G$101,0),7)</f>
        <v>71</v>
      </c>
      <c r="J78" s="6">
        <f>INDEX(Social!$A$2:$G$101,MATCH(Social!C78,Social!$C$2:$C$101,0),3)</f>
        <v>14</v>
      </c>
      <c r="K78" s="6">
        <f>INDEX(Governance!$A$2:$F$101,MATCH(Governance!B78,Governance!$B$2:$B$101,0),2)</f>
        <v>97</v>
      </c>
      <c r="L78" s="6" t="str">
        <f>INDEX(Governance!A78:C177,1,3)</f>
        <v>Yes</v>
      </c>
    </row>
    <row r="79" spans="1:12" x14ac:dyDescent="0.35">
      <c r="A79" s="6">
        <f>INDEX(Company_Master!$A$2:$A$101,MATCH(Company_Master!A79,Company_Master!$A$2:$A$101,0))</f>
        <v>78</v>
      </c>
      <c r="B79" s="6" t="str">
        <f>INDEX(Company_Master!$C$2:$C$101,MATCH(Company_Master!C79,Company_Master!$C$2:$C$101,0))</f>
        <v>Energy</v>
      </c>
      <c r="C79" s="6" t="str">
        <f>_xlfn.XLOOKUP(A79,A79:A178,Company_Master!D79:D178,0)</f>
        <v>Japan</v>
      </c>
      <c r="D79" s="6">
        <f>INDEX(Company_Master!$A$2:$H$101,MATCH(Company_Master!F79,Company_Master!$F$2:$F$101,0),6)</f>
        <v>16524</v>
      </c>
      <c r="E79" s="6">
        <f>_xlfn.XLOOKUP(Governance!E79,Governance!$E$2:$E$101,Governance!$E$2:$E$101,0)</f>
        <v>50</v>
      </c>
      <c r="F79" s="6">
        <f>INDEX(Environmental!$A$2:$I$101,MATCH(Environmental!C79,Environmental!$C$2:$C$101,0),3)</f>
        <v>4863</v>
      </c>
      <c r="G79" s="6">
        <f>INDEX(Environmental!$A$2:$I$101,MATCH(Environmental!D79,Environmental!$D$2:$D$101,0),4)</f>
        <v>1745</v>
      </c>
      <c r="H79" s="6">
        <f>INDEX(Environmental!$A$2:$I$101,MATCH(Environmental!E79,Environmental!$E$2:$E$101,0),5)</f>
        <v>38318</v>
      </c>
      <c r="I79" s="6">
        <f>INDEX(Environmental!$A$2:$I$101,MATCH(Environmental!G79,Environmental!$G$2:$G$101,0),7)</f>
        <v>31</v>
      </c>
      <c r="J79" s="6">
        <f>INDEX(Social!$A$2:$G$101,MATCH(Social!C79,Social!$C$2:$C$101,0),3)</f>
        <v>46</v>
      </c>
      <c r="K79" s="6">
        <f>INDEX(Governance!$A$2:$F$101,MATCH(Governance!B79,Governance!$B$2:$B$101,0),2)</f>
        <v>52</v>
      </c>
      <c r="L79" s="6" t="str">
        <f>INDEX(Governance!A79:C178,1,3)</f>
        <v>No</v>
      </c>
    </row>
    <row r="80" spans="1:12" x14ac:dyDescent="0.35">
      <c r="A80" s="6">
        <f>INDEX(Company_Master!$A$2:$A$101,MATCH(Company_Master!A80,Company_Master!$A$2:$A$101,0))</f>
        <v>79</v>
      </c>
      <c r="B80" s="6" t="str">
        <f>INDEX(Company_Master!$C$2:$C$101,MATCH(Company_Master!C80,Company_Master!$C$2:$C$101,0))</f>
        <v>Finance</v>
      </c>
      <c r="C80" s="6" t="str">
        <f>_xlfn.XLOOKUP(A80,A80:A179,Company_Master!D80:D179,0)</f>
        <v>Canada</v>
      </c>
      <c r="D80" s="6">
        <f>INDEX(Company_Master!$A$2:$H$101,MATCH(Company_Master!F80,Company_Master!$F$2:$F$101,0),6)</f>
        <v>18736</v>
      </c>
      <c r="E80" s="6">
        <f>_xlfn.XLOOKUP(Governance!E80,Governance!$E$2:$E$101,Governance!$E$2:$E$101,0)</f>
        <v>82</v>
      </c>
      <c r="F80" s="6">
        <f>INDEX(Environmental!$A$2:$I$101,MATCH(Environmental!C80,Environmental!$C$2:$C$101,0),3)</f>
        <v>5980</v>
      </c>
      <c r="G80" s="6">
        <f>INDEX(Environmental!$A$2:$I$101,MATCH(Environmental!D80,Environmental!$D$2:$D$101,0),4)</f>
        <v>677</v>
      </c>
      <c r="H80" s="6">
        <f>INDEX(Environmental!$A$2:$I$101,MATCH(Environmental!E80,Environmental!$E$2:$E$101,0),5)</f>
        <v>45348</v>
      </c>
      <c r="I80" s="6">
        <f>INDEX(Environmental!$A$2:$I$101,MATCH(Environmental!G80,Environmental!$G$2:$G$101,0),7)</f>
        <v>54</v>
      </c>
      <c r="J80" s="6">
        <f>INDEX(Social!$A$2:$G$101,MATCH(Social!C80,Social!$C$2:$C$101,0),3)</f>
        <v>30</v>
      </c>
      <c r="K80" s="6">
        <f>INDEX(Governance!$A$2:$F$101,MATCH(Governance!B80,Governance!$B$2:$B$101,0),2)</f>
        <v>66</v>
      </c>
      <c r="L80" s="6" t="str">
        <f>INDEX(Governance!A80:C179,1,3)</f>
        <v>Yes</v>
      </c>
    </row>
    <row r="81" spans="1:12" x14ac:dyDescent="0.35">
      <c r="A81" s="6">
        <f>INDEX(Company_Master!$A$2:$A$101,MATCH(Company_Master!A81,Company_Master!$A$2:$A$101,0))</f>
        <v>80</v>
      </c>
      <c r="B81" s="6" t="str">
        <f>INDEX(Company_Master!$C$2:$C$101,MATCH(Company_Master!C81,Company_Master!$C$2:$C$101,0))</f>
        <v>Energy</v>
      </c>
      <c r="C81" s="6" t="str">
        <f>_xlfn.XLOOKUP(A81,A81:A180,Company_Master!D81:D180,0)</f>
        <v>Australia</v>
      </c>
      <c r="D81" s="6">
        <f>INDEX(Company_Master!$A$2:$H$101,MATCH(Company_Master!F81,Company_Master!$F$2:$F$101,0),6)</f>
        <v>6638</v>
      </c>
      <c r="E81" s="6">
        <f>_xlfn.XLOOKUP(Governance!E81,Governance!$E$2:$E$101,Governance!$E$2:$E$101,0)</f>
        <v>64</v>
      </c>
      <c r="F81" s="6">
        <f>INDEX(Environmental!$A$2:$I$101,MATCH(Environmental!C81,Environmental!$C$2:$C$101,0),3)</f>
        <v>1068</v>
      </c>
      <c r="G81" s="6">
        <f>INDEX(Environmental!$A$2:$I$101,MATCH(Environmental!D81,Environmental!$D$2:$D$101,0),4)</f>
        <v>3238</v>
      </c>
      <c r="H81" s="6">
        <f>INDEX(Environmental!$A$2:$I$101,MATCH(Environmental!E81,Environmental!$E$2:$E$101,0),5)</f>
        <v>44169</v>
      </c>
      <c r="I81" s="6">
        <f>INDEX(Environmental!$A$2:$I$101,MATCH(Environmental!G81,Environmental!$G$2:$G$101,0),7)</f>
        <v>42</v>
      </c>
      <c r="J81" s="6">
        <f>INDEX(Social!$A$2:$G$101,MATCH(Social!C81,Social!$C$2:$C$101,0),3)</f>
        <v>16</v>
      </c>
      <c r="K81" s="6">
        <f>INDEX(Governance!$A$2:$F$101,MATCH(Governance!B81,Governance!$B$2:$B$101,0),2)</f>
        <v>67</v>
      </c>
      <c r="L81" s="6" t="str">
        <f>INDEX(Governance!A81:C180,1,3)</f>
        <v>Yes</v>
      </c>
    </row>
    <row r="82" spans="1:12" x14ac:dyDescent="0.35">
      <c r="A82" s="6">
        <f>INDEX(Company_Master!$A$2:$A$101,MATCH(Company_Master!A82,Company_Master!$A$2:$A$101,0))</f>
        <v>81</v>
      </c>
      <c r="B82" s="6" t="str">
        <f>INDEX(Company_Master!$C$2:$C$101,MATCH(Company_Master!C82,Company_Master!$C$2:$C$101,0))</f>
        <v>Finance</v>
      </c>
      <c r="C82" s="6" t="str">
        <f>_xlfn.XLOOKUP(A82,A82:A181,Company_Master!D82:D181,0)</f>
        <v>Australia</v>
      </c>
      <c r="D82" s="6">
        <f>INDEX(Company_Master!$A$2:$H$101,MATCH(Company_Master!F82,Company_Master!$F$2:$F$101,0),6)</f>
        <v>22175</v>
      </c>
      <c r="E82" s="6">
        <f>_xlfn.XLOOKUP(Governance!E82,Governance!$E$2:$E$101,Governance!$E$2:$E$101,0)</f>
        <v>58</v>
      </c>
      <c r="F82" s="6">
        <f>INDEX(Environmental!$A$2:$I$101,MATCH(Environmental!C82,Environmental!$C$2:$C$101,0),3)</f>
        <v>1854</v>
      </c>
      <c r="G82" s="6">
        <f>INDEX(Environmental!$A$2:$I$101,MATCH(Environmental!D82,Environmental!$D$2:$D$101,0),4)</f>
        <v>1044</v>
      </c>
      <c r="H82" s="6">
        <f>INDEX(Environmental!$A$2:$I$101,MATCH(Environmental!E82,Environmental!$E$2:$E$101,0),5)</f>
        <v>34812</v>
      </c>
      <c r="I82" s="6">
        <f>INDEX(Environmental!$A$2:$I$101,MATCH(Environmental!G82,Environmental!$G$2:$G$101,0),7)</f>
        <v>18</v>
      </c>
      <c r="J82" s="6">
        <f>INDEX(Social!$A$2:$G$101,MATCH(Social!C82,Social!$C$2:$C$101,0),3)</f>
        <v>15</v>
      </c>
      <c r="K82" s="6">
        <f>INDEX(Governance!$A$2:$F$101,MATCH(Governance!B82,Governance!$B$2:$B$101,0),2)</f>
        <v>76</v>
      </c>
      <c r="L82" s="6" t="str">
        <f>INDEX(Governance!A82:C181,1,3)</f>
        <v>Yes</v>
      </c>
    </row>
    <row r="83" spans="1:12" x14ac:dyDescent="0.35">
      <c r="A83" s="6">
        <f>INDEX(Company_Master!$A$2:$A$101,MATCH(Company_Master!A83,Company_Master!$A$2:$A$101,0))</f>
        <v>82</v>
      </c>
      <c r="B83" s="6" t="str">
        <f>INDEX(Company_Master!$C$2:$C$101,MATCH(Company_Master!C83,Company_Master!$C$2:$C$101,0))</f>
        <v>Finance</v>
      </c>
      <c r="C83" s="6" t="str">
        <f>_xlfn.XLOOKUP(A83,A83:A182,Company_Master!D83:D182,0)</f>
        <v>Japan</v>
      </c>
      <c r="D83" s="6">
        <f>INDEX(Company_Master!$A$2:$H$101,MATCH(Company_Master!F83,Company_Master!$F$2:$F$101,0),6)</f>
        <v>26380</v>
      </c>
      <c r="E83" s="6">
        <f>_xlfn.XLOOKUP(Governance!E83,Governance!$E$2:$E$101,Governance!$E$2:$E$101,0)</f>
        <v>38</v>
      </c>
      <c r="F83" s="6">
        <f>INDEX(Environmental!$A$2:$I$101,MATCH(Environmental!C83,Environmental!$C$2:$C$101,0),3)</f>
        <v>3870</v>
      </c>
      <c r="G83" s="6">
        <f>INDEX(Environmental!$A$2:$I$101,MATCH(Environmental!D83,Environmental!$D$2:$D$101,0),4)</f>
        <v>4010</v>
      </c>
      <c r="H83" s="6">
        <f>INDEX(Environmental!$A$2:$I$101,MATCH(Environmental!E83,Environmental!$E$2:$E$101,0),5)</f>
        <v>5523</v>
      </c>
      <c r="I83" s="6">
        <f>INDEX(Environmental!$A$2:$I$101,MATCH(Environmental!G83,Environmental!$G$2:$G$101,0),7)</f>
        <v>99</v>
      </c>
      <c r="J83" s="6">
        <f>INDEX(Social!$A$2:$G$101,MATCH(Social!C83,Social!$C$2:$C$101,0),3)</f>
        <v>41</v>
      </c>
      <c r="K83" s="6">
        <f>INDEX(Governance!$A$2:$F$101,MATCH(Governance!B83,Governance!$B$2:$B$101,0),2)</f>
        <v>75</v>
      </c>
      <c r="L83" s="6" t="str">
        <f>INDEX(Governance!A83:C182,1,3)</f>
        <v>Yes</v>
      </c>
    </row>
    <row r="84" spans="1:12" x14ac:dyDescent="0.35">
      <c r="A84" s="6">
        <f>INDEX(Company_Master!$A$2:$A$101,MATCH(Company_Master!A84,Company_Master!$A$2:$A$101,0))</f>
        <v>83</v>
      </c>
      <c r="B84" s="6" t="str">
        <f>INDEX(Company_Master!$C$2:$C$101,MATCH(Company_Master!C84,Company_Master!$C$2:$C$101,0))</f>
        <v>Manufacturing</v>
      </c>
      <c r="C84" s="6" t="str">
        <f>_xlfn.XLOOKUP(A84,A84:A183,Company_Master!D84:D183,0)</f>
        <v>Germany</v>
      </c>
      <c r="D84" s="6">
        <f>INDEX(Company_Master!$A$2:$H$101,MATCH(Company_Master!F84,Company_Master!$F$2:$F$101,0),6)</f>
        <v>21615</v>
      </c>
      <c r="E84" s="6">
        <f>_xlfn.XLOOKUP(Governance!E84,Governance!$E$2:$E$101,Governance!$E$2:$E$101,0)</f>
        <v>88</v>
      </c>
      <c r="F84" s="6">
        <f>INDEX(Environmental!$A$2:$I$101,MATCH(Environmental!C84,Environmental!$C$2:$C$101,0),3)</f>
        <v>3984</v>
      </c>
      <c r="G84" s="6">
        <f>INDEX(Environmental!$A$2:$I$101,MATCH(Environmental!D84,Environmental!$D$2:$D$101,0),4)</f>
        <v>3886</v>
      </c>
      <c r="H84" s="6">
        <f>INDEX(Environmental!$A$2:$I$101,MATCH(Environmental!E84,Environmental!$E$2:$E$101,0),5)</f>
        <v>6603</v>
      </c>
      <c r="I84" s="6">
        <f>INDEX(Environmental!$A$2:$I$101,MATCH(Environmental!G84,Environmental!$G$2:$G$101,0),7)</f>
        <v>20</v>
      </c>
      <c r="J84" s="6">
        <f>INDEX(Social!$A$2:$G$101,MATCH(Social!C84,Social!$C$2:$C$101,0),3)</f>
        <v>34</v>
      </c>
      <c r="K84" s="6">
        <f>INDEX(Governance!$A$2:$F$101,MATCH(Governance!B84,Governance!$B$2:$B$101,0),2)</f>
        <v>74</v>
      </c>
      <c r="L84" s="6" t="str">
        <f>INDEX(Governance!A84:C183,1,3)</f>
        <v>No</v>
      </c>
    </row>
    <row r="85" spans="1:12" x14ac:dyDescent="0.35">
      <c r="A85" s="6">
        <f>INDEX(Company_Master!$A$2:$A$101,MATCH(Company_Master!A85,Company_Master!$A$2:$A$101,0))</f>
        <v>84</v>
      </c>
      <c r="B85" s="6" t="str">
        <f>INDEX(Company_Master!$C$2:$C$101,MATCH(Company_Master!C85,Company_Master!$C$2:$C$101,0))</f>
        <v>Manufacturing</v>
      </c>
      <c r="C85" s="6" t="str">
        <f>_xlfn.XLOOKUP(A85,A85:A184,Company_Master!D85:D184,0)</f>
        <v>USA</v>
      </c>
      <c r="D85" s="6">
        <f>INDEX(Company_Master!$A$2:$H$101,MATCH(Company_Master!F85,Company_Master!$F$2:$F$101,0),6)</f>
        <v>23988</v>
      </c>
      <c r="E85" s="6">
        <f>_xlfn.XLOOKUP(Governance!E85,Governance!$E$2:$E$101,Governance!$E$2:$E$101,0)</f>
        <v>88</v>
      </c>
      <c r="F85" s="6">
        <f>INDEX(Environmental!$A$2:$I$101,MATCH(Environmental!C85,Environmental!$C$2:$C$101,0),3)</f>
        <v>550</v>
      </c>
      <c r="G85" s="6">
        <f>INDEX(Environmental!$A$2:$I$101,MATCH(Environmental!D85,Environmental!$D$2:$D$101,0),4)</f>
        <v>3134</v>
      </c>
      <c r="H85" s="6">
        <f>INDEX(Environmental!$A$2:$I$101,MATCH(Environmental!E85,Environmental!$E$2:$E$101,0),5)</f>
        <v>43914</v>
      </c>
      <c r="I85" s="6">
        <f>INDEX(Environmental!$A$2:$I$101,MATCH(Environmental!G85,Environmental!$G$2:$G$101,0),7)</f>
        <v>65</v>
      </c>
      <c r="J85" s="6">
        <f>INDEX(Social!$A$2:$G$101,MATCH(Social!C85,Social!$C$2:$C$101,0),3)</f>
        <v>16</v>
      </c>
      <c r="K85" s="6">
        <f>INDEX(Governance!$A$2:$F$101,MATCH(Governance!B85,Governance!$B$2:$B$101,0),2)</f>
        <v>62</v>
      </c>
      <c r="L85" s="6" t="str">
        <f>INDEX(Governance!A85:C184,1,3)</f>
        <v>No</v>
      </c>
    </row>
    <row r="86" spans="1:12" x14ac:dyDescent="0.35">
      <c r="A86" s="6">
        <f>INDEX(Company_Master!$A$2:$A$101,MATCH(Company_Master!A86,Company_Master!$A$2:$A$101,0))</f>
        <v>85</v>
      </c>
      <c r="B86" s="6" t="str">
        <f>INDEX(Company_Master!$C$2:$C$101,MATCH(Company_Master!C86,Company_Master!$C$2:$C$101,0))</f>
        <v>Manufacturing</v>
      </c>
      <c r="C86" s="6" t="str">
        <f>_xlfn.XLOOKUP(A86,A86:A185,Company_Master!D86:D185,0)</f>
        <v>USA</v>
      </c>
      <c r="D86" s="6">
        <f>INDEX(Company_Master!$A$2:$H$101,MATCH(Company_Master!F86,Company_Master!$F$2:$F$101,0),6)</f>
        <v>26510</v>
      </c>
      <c r="E86" s="6">
        <f>_xlfn.XLOOKUP(Governance!E86,Governance!$E$2:$E$101,Governance!$E$2:$E$101,0)</f>
        <v>51</v>
      </c>
      <c r="F86" s="6">
        <f>INDEX(Environmental!$A$2:$I$101,MATCH(Environmental!C86,Environmental!$C$2:$C$101,0),3)</f>
        <v>1323</v>
      </c>
      <c r="G86" s="6">
        <f>INDEX(Environmental!$A$2:$I$101,MATCH(Environmental!D86,Environmental!$D$2:$D$101,0),4)</f>
        <v>4202</v>
      </c>
      <c r="H86" s="6">
        <f>INDEX(Environmental!$A$2:$I$101,MATCH(Environmental!E86,Environmental!$E$2:$E$101,0),5)</f>
        <v>40952</v>
      </c>
      <c r="I86" s="6">
        <f>INDEX(Environmental!$A$2:$I$101,MATCH(Environmental!G86,Environmental!$G$2:$G$101,0),7)</f>
        <v>83</v>
      </c>
      <c r="J86" s="6">
        <f>INDEX(Social!$A$2:$G$101,MATCH(Social!C86,Social!$C$2:$C$101,0),3)</f>
        <v>23</v>
      </c>
      <c r="K86" s="6">
        <f>INDEX(Governance!$A$2:$F$101,MATCH(Governance!B86,Governance!$B$2:$B$101,0),2)</f>
        <v>74</v>
      </c>
      <c r="L86" s="6" t="str">
        <f>INDEX(Governance!A86:C185,1,3)</f>
        <v>Yes</v>
      </c>
    </row>
    <row r="87" spans="1:12" x14ac:dyDescent="0.35">
      <c r="A87" s="6">
        <f>INDEX(Company_Master!$A$2:$A$101,MATCH(Company_Master!A87,Company_Master!$A$2:$A$101,0))</f>
        <v>86</v>
      </c>
      <c r="B87" s="6" t="str">
        <f>INDEX(Company_Master!$C$2:$C$101,MATCH(Company_Master!C87,Company_Master!$C$2:$C$101,0))</f>
        <v>Manufacturing</v>
      </c>
      <c r="C87" s="6" t="str">
        <f>_xlfn.XLOOKUP(A87,A87:A186,Company_Master!D87:D186,0)</f>
        <v>Australia</v>
      </c>
      <c r="D87" s="6">
        <f>INDEX(Company_Master!$A$2:$H$101,MATCH(Company_Master!F87,Company_Master!$F$2:$F$101,0),6)</f>
        <v>21517</v>
      </c>
      <c r="E87" s="6">
        <f>_xlfn.XLOOKUP(Governance!E87,Governance!$E$2:$E$101,Governance!$E$2:$E$101,0)</f>
        <v>72</v>
      </c>
      <c r="F87" s="6">
        <f>INDEX(Environmental!$A$2:$I$101,MATCH(Environmental!C87,Environmental!$C$2:$C$101,0),3)</f>
        <v>6967</v>
      </c>
      <c r="G87" s="6">
        <f>INDEX(Environmental!$A$2:$I$101,MATCH(Environmental!D87,Environmental!$D$2:$D$101,0),4)</f>
        <v>1865</v>
      </c>
      <c r="H87" s="6">
        <f>INDEX(Environmental!$A$2:$I$101,MATCH(Environmental!E87,Environmental!$E$2:$E$101,0),5)</f>
        <v>39190</v>
      </c>
      <c r="I87" s="6">
        <f>INDEX(Environmental!$A$2:$I$101,MATCH(Environmental!G87,Environmental!$G$2:$G$101,0),7)</f>
        <v>27</v>
      </c>
      <c r="J87" s="6">
        <f>INDEX(Social!$A$2:$G$101,MATCH(Social!C87,Social!$C$2:$C$101,0),3)</f>
        <v>51</v>
      </c>
      <c r="K87" s="6">
        <f>INDEX(Governance!$A$2:$F$101,MATCH(Governance!B87,Governance!$B$2:$B$101,0),2)</f>
        <v>75</v>
      </c>
      <c r="L87" s="6" t="str">
        <f>INDEX(Governance!A87:C186,1,3)</f>
        <v>No</v>
      </c>
    </row>
    <row r="88" spans="1:12" x14ac:dyDescent="0.35">
      <c r="A88" s="6">
        <f>INDEX(Company_Master!$A$2:$A$101,MATCH(Company_Master!A88,Company_Master!$A$2:$A$101,0))</f>
        <v>87</v>
      </c>
      <c r="B88" s="6" t="str">
        <f>INDEX(Company_Master!$C$2:$C$101,MATCH(Company_Master!C88,Company_Master!$C$2:$C$101,0))</f>
        <v>Manufacturing</v>
      </c>
      <c r="C88" s="6" t="str">
        <f>_xlfn.XLOOKUP(A88,A88:A187,Company_Master!D88:D187,0)</f>
        <v>Germany</v>
      </c>
      <c r="D88" s="6">
        <f>INDEX(Company_Master!$A$2:$H$101,MATCH(Company_Master!F88,Company_Master!$F$2:$F$101,0),6)</f>
        <v>24198</v>
      </c>
      <c r="E88" s="6">
        <f>_xlfn.XLOOKUP(Governance!E88,Governance!$E$2:$E$101,Governance!$E$2:$E$101,0)</f>
        <v>67</v>
      </c>
      <c r="F88" s="6">
        <f>INDEX(Environmental!$A$2:$I$101,MATCH(Environmental!C88,Environmental!$C$2:$C$101,0),3)</f>
        <v>1555</v>
      </c>
      <c r="G88" s="6">
        <f>INDEX(Environmental!$A$2:$I$101,MATCH(Environmental!D88,Environmental!$D$2:$D$101,0),4)</f>
        <v>2812</v>
      </c>
      <c r="H88" s="6">
        <f>INDEX(Environmental!$A$2:$I$101,MATCH(Environmental!E88,Environmental!$E$2:$E$101,0),5)</f>
        <v>5575</v>
      </c>
      <c r="I88" s="6">
        <f>INDEX(Environmental!$A$2:$I$101,MATCH(Environmental!G88,Environmental!$G$2:$G$101,0),7)</f>
        <v>39</v>
      </c>
      <c r="J88" s="6">
        <f>INDEX(Social!$A$2:$G$101,MATCH(Social!C88,Social!$C$2:$C$101,0),3)</f>
        <v>33</v>
      </c>
      <c r="K88" s="6">
        <f>INDEX(Governance!$A$2:$F$101,MATCH(Governance!B88,Governance!$B$2:$B$101,0),2)</f>
        <v>88</v>
      </c>
      <c r="L88" s="6" t="str">
        <f>INDEX(Governance!A88:C187,1,3)</f>
        <v>Yes</v>
      </c>
    </row>
    <row r="89" spans="1:12" x14ac:dyDescent="0.35">
      <c r="A89" s="6">
        <f>INDEX(Company_Master!$A$2:$A$101,MATCH(Company_Master!A89,Company_Master!$A$2:$A$101,0))</f>
        <v>88</v>
      </c>
      <c r="B89" s="6" t="str">
        <f>INDEX(Company_Master!$C$2:$C$101,MATCH(Company_Master!C89,Company_Master!$C$2:$C$101,0))</f>
        <v>Retail</v>
      </c>
      <c r="C89" s="6" t="str">
        <f>_xlfn.XLOOKUP(A89,A89:A188,Company_Master!D89:D188,0)</f>
        <v>Japan</v>
      </c>
      <c r="D89" s="6">
        <f>INDEX(Company_Master!$A$2:$H$101,MATCH(Company_Master!F89,Company_Master!$F$2:$F$101,0),6)</f>
        <v>25583</v>
      </c>
      <c r="E89" s="6">
        <f>_xlfn.XLOOKUP(Governance!E89,Governance!$E$2:$E$101,Governance!$E$2:$E$101,0)</f>
        <v>85</v>
      </c>
      <c r="F89" s="6">
        <f>INDEX(Environmental!$A$2:$I$101,MATCH(Environmental!C89,Environmental!$C$2:$C$101,0),3)</f>
        <v>6564</v>
      </c>
      <c r="G89" s="6">
        <f>INDEX(Environmental!$A$2:$I$101,MATCH(Environmental!D89,Environmental!$D$2:$D$101,0),4)</f>
        <v>2623</v>
      </c>
      <c r="H89" s="6">
        <f>INDEX(Environmental!$A$2:$I$101,MATCH(Environmental!E89,Environmental!$E$2:$E$101,0),5)</f>
        <v>24944</v>
      </c>
      <c r="I89" s="6">
        <f>INDEX(Environmental!$A$2:$I$101,MATCH(Environmental!G89,Environmental!$G$2:$G$101,0),7)</f>
        <v>16</v>
      </c>
      <c r="J89" s="6">
        <f>INDEX(Social!$A$2:$G$101,MATCH(Social!C89,Social!$C$2:$C$101,0),3)</f>
        <v>35</v>
      </c>
      <c r="K89" s="6">
        <f>INDEX(Governance!$A$2:$F$101,MATCH(Governance!B89,Governance!$B$2:$B$101,0),2)</f>
        <v>46</v>
      </c>
      <c r="L89" s="6" t="str">
        <f>INDEX(Governance!A89:C188,1,3)</f>
        <v>No</v>
      </c>
    </row>
    <row r="90" spans="1:12" x14ac:dyDescent="0.35">
      <c r="A90" s="6">
        <f>INDEX(Company_Master!$A$2:$A$101,MATCH(Company_Master!A90,Company_Master!$A$2:$A$101,0))</f>
        <v>89</v>
      </c>
      <c r="B90" s="6" t="str">
        <f>INDEX(Company_Master!$C$2:$C$101,MATCH(Company_Master!C90,Company_Master!$C$2:$C$101,0))</f>
        <v>Technology</v>
      </c>
      <c r="C90" s="6" t="str">
        <f>_xlfn.XLOOKUP(A90,A90:A189,Company_Master!D90:D189,0)</f>
        <v>UK</v>
      </c>
      <c r="D90" s="6">
        <f>INDEX(Company_Master!$A$2:$H$101,MATCH(Company_Master!F90,Company_Master!$F$2:$F$101,0),6)</f>
        <v>28473</v>
      </c>
      <c r="E90" s="6">
        <f>_xlfn.XLOOKUP(Governance!E90,Governance!$E$2:$E$101,Governance!$E$2:$E$101,0)</f>
        <v>46</v>
      </c>
      <c r="F90" s="6">
        <f>INDEX(Environmental!$A$2:$I$101,MATCH(Environmental!C90,Environmental!$C$2:$C$101,0),3)</f>
        <v>6009</v>
      </c>
      <c r="G90" s="6">
        <f>INDEX(Environmental!$A$2:$I$101,MATCH(Environmental!D90,Environmental!$D$2:$D$101,0),4)</f>
        <v>1814</v>
      </c>
      <c r="H90" s="6">
        <f>INDEX(Environmental!$A$2:$I$101,MATCH(Environmental!E90,Environmental!$E$2:$E$101,0),5)</f>
        <v>15547</v>
      </c>
      <c r="I90" s="6">
        <f>INDEX(Environmental!$A$2:$I$101,MATCH(Environmental!G90,Environmental!$G$2:$G$101,0),7)</f>
        <v>91</v>
      </c>
      <c r="J90" s="6">
        <f>INDEX(Social!$A$2:$G$101,MATCH(Social!C90,Social!$C$2:$C$101,0),3)</f>
        <v>46</v>
      </c>
      <c r="K90" s="6">
        <f>INDEX(Governance!$A$2:$F$101,MATCH(Governance!B90,Governance!$B$2:$B$101,0),2)</f>
        <v>48</v>
      </c>
      <c r="L90" s="6" t="str">
        <f>INDEX(Governance!A90:C189,1,3)</f>
        <v>No</v>
      </c>
    </row>
    <row r="91" spans="1:12" x14ac:dyDescent="0.35">
      <c r="A91" s="6">
        <f>INDEX(Company_Master!$A$2:$A$101,MATCH(Company_Master!A91,Company_Master!$A$2:$A$101,0))</f>
        <v>90</v>
      </c>
      <c r="B91" s="6" t="str">
        <f>INDEX(Company_Master!$C$2:$C$101,MATCH(Company_Master!C91,Company_Master!$C$2:$C$101,0))</f>
        <v>Healthcare</v>
      </c>
      <c r="C91" s="6" t="str">
        <f>_xlfn.XLOOKUP(A91,A91:A190,Company_Master!D91:D190,0)</f>
        <v>Australia</v>
      </c>
      <c r="D91" s="6">
        <f>INDEX(Company_Master!$A$2:$H$101,MATCH(Company_Master!F91,Company_Master!$F$2:$F$101,0),6)</f>
        <v>15242</v>
      </c>
      <c r="E91" s="6">
        <f>_xlfn.XLOOKUP(Governance!E91,Governance!$E$2:$E$101,Governance!$E$2:$E$101,0)</f>
        <v>59</v>
      </c>
      <c r="F91" s="6">
        <f>INDEX(Environmental!$A$2:$I$101,MATCH(Environmental!C91,Environmental!$C$2:$C$101,0),3)</f>
        <v>2652</v>
      </c>
      <c r="G91" s="6">
        <f>INDEX(Environmental!$A$2:$I$101,MATCH(Environmental!D91,Environmental!$D$2:$D$101,0),4)</f>
        <v>1369</v>
      </c>
      <c r="H91" s="6">
        <f>INDEX(Environmental!$A$2:$I$101,MATCH(Environmental!E91,Environmental!$E$2:$E$101,0),5)</f>
        <v>33061</v>
      </c>
      <c r="I91" s="6">
        <f>INDEX(Environmental!$A$2:$I$101,MATCH(Environmental!G91,Environmental!$G$2:$G$101,0),7)</f>
        <v>63</v>
      </c>
      <c r="J91" s="6">
        <f>INDEX(Social!$A$2:$G$101,MATCH(Social!C91,Social!$C$2:$C$101,0),3)</f>
        <v>54</v>
      </c>
      <c r="K91" s="6">
        <f>INDEX(Governance!$A$2:$F$101,MATCH(Governance!B91,Governance!$B$2:$B$101,0),2)</f>
        <v>72</v>
      </c>
      <c r="L91" s="6" t="str">
        <f>INDEX(Governance!A91:C190,1,3)</f>
        <v>No</v>
      </c>
    </row>
    <row r="92" spans="1:12" x14ac:dyDescent="0.35">
      <c r="A92" s="6">
        <f>INDEX(Company_Master!$A$2:$A$101,MATCH(Company_Master!A92,Company_Master!$A$2:$A$101,0))</f>
        <v>91</v>
      </c>
      <c r="B92" s="6" t="str">
        <f>INDEX(Company_Master!$C$2:$C$101,MATCH(Company_Master!C92,Company_Master!$C$2:$C$101,0))</f>
        <v>Healthcare</v>
      </c>
      <c r="C92" s="6" t="str">
        <f>_xlfn.XLOOKUP(A92,A92:A191,Company_Master!D92:D191,0)</f>
        <v>Germany</v>
      </c>
      <c r="D92" s="6">
        <f>INDEX(Company_Master!$A$2:$H$101,MATCH(Company_Master!F92,Company_Master!$F$2:$F$101,0),6)</f>
        <v>23800</v>
      </c>
      <c r="E92" s="6">
        <f>_xlfn.XLOOKUP(Governance!E92,Governance!$E$2:$E$101,Governance!$E$2:$E$101,0)</f>
        <v>64</v>
      </c>
      <c r="F92" s="6">
        <f>INDEX(Environmental!$A$2:$I$101,MATCH(Environmental!C92,Environmental!$C$2:$C$101,0),3)</f>
        <v>4304</v>
      </c>
      <c r="G92" s="6">
        <f>INDEX(Environmental!$A$2:$I$101,MATCH(Environmental!D92,Environmental!$D$2:$D$101,0),4)</f>
        <v>2363</v>
      </c>
      <c r="H92" s="6">
        <f>INDEX(Environmental!$A$2:$I$101,MATCH(Environmental!E92,Environmental!$E$2:$E$101,0),5)</f>
        <v>590</v>
      </c>
      <c r="I92" s="6">
        <f>INDEX(Environmental!$A$2:$I$101,MATCH(Environmental!G92,Environmental!$G$2:$G$101,0),7)</f>
        <v>29</v>
      </c>
      <c r="J92" s="6">
        <f>INDEX(Social!$A$2:$G$101,MATCH(Social!C92,Social!$C$2:$C$101,0),3)</f>
        <v>57</v>
      </c>
      <c r="K92" s="6">
        <f>INDEX(Governance!$A$2:$F$101,MATCH(Governance!B92,Governance!$B$2:$B$101,0),2)</f>
        <v>77</v>
      </c>
      <c r="L92" s="6" t="str">
        <f>INDEX(Governance!A92:C191,1,3)</f>
        <v>Yes</v>
      </c>
    </row>
    <row r="93" spans="1:12" x14ac:dyDescent="0.35">
      <c r="A93" s="6">
        <f>INDEX(Company_Master!$A$2:$A$101,MATCH(Company_Master!A93,Company_Master!$A$2:$A$101,0))</f>
        <v>92</v>
      </c>
      <c r="B93" s="6" t="str">
        <f>INDEX(Company_Master!$C$2:$C$101,MATCH(Company_Master!C93,Company_Master!$C$2:$C$101,0))</f>
        <v>Retail</v>
      </c>
      <c r="C93" s="6" t="str">
        <f>_xlfn.XLOOKUP(A93,A93:A192,Company_Master!D93:D192,0)</f>
        <v>Japan</v>
      </c>
      <c r="D93" s="6">
        <f>INDEX(Company_Master!$A$2:$H$101,MATCH(Company_Master!F93,Company_Master!$F$2:$F$101,0),6)</f>
        <v>15735</v>
      </c>
      <c r="E93" s="6">
        <f>_xlfn.XLOOKUP(Governance!E93,Governance!$E$2:$E$101,Governance!$E$2:$E$101,0)</f>
        <v>73</v>
      </c>
      <c r="F93" s="6">
        <f>INDEX(Environmental!$A$2:$I$101,MATCH(Environmental!C93,Environmental!$C$2:$C$101,0),3)</f>
        <v>2483</v>
      </c>
      <c r="G93" s="6">
        <f>INDEX(Environmental!$A$2:$I$101,MATCH(Environmental!D93,Environmental!$D$2:$D$101,0),4)</f>
        <v>1835</v>
      </c>
      <c r="H93" s="6">
        <f>INDEX(Environmental!$A$2:$I$101,MATCH(Environmental!E93,Environmental!$E$2:$E$101,0),5)</f>
        <v>40069</v>
      </c>
      <c r="I93" s="6">
        <f>INDEX(Environmental!$A$2:$I$101,MATCH(Environmental!G93,Environmental!$G$2:$G$101,0),7)</f>
        <v>8</v>
      </c>
      <c r="J93" s="6">
        <f>INDEX(Social!$A$2:$G$101,MATCH(Social!C93,Social!$C$2:$C$101,0),3)</f>
        <v>44</v>
      </c>
      <c r="K93" s="6">
        <f>INDEX(Governance!$A$2:$F$101,MATCH(Governance!B93,Governance!$B$2:$B$101,0),2)</f>
        <v>94</v>
      </c>
      <c r="L93" s="6" t="str">
        <f>INDEX(Governance!A93:C192,1,3)</f>
        <v>Yes</v>
      </c>
    </row>
    <row r="94" spans="1:12" x14ac:dyDescent="0.35">
      <c r="A94" s="6">
        <f>INDEX(Company_Master!$A$2:$A$101,MATCH(Company_Master!A94,Company_Master!$A$2:$A$101,0))</f>
        <v>93</v>
      </c>
      <c r="B94" s="6" t="str">
        <f>INDEX(Company_Master!$C$2:$C$101,MATCH(Company_Master!C94,Company_Master!$C$2:$C$101,0))</f>
        <v>Technology</v>
      </c>
      <c r="C94" s="6" t="str">
        <f>_xlfn.XLOOKUP(A94,A94:A193,Company_Master!D94:D193,0)</f>
        <v>Germany</v>
      </c>
      <c r="D94" s="6">
        <f>INDEX(Company_Master!$A$2:$H$101,MATCH(Company_Master!F94,Company_Master!$F$2:$F$101,0),6)</f>
        <v>5043</v>
      </c>
      <c r="E94" s="6">
        <f>_xlfn.XLOOKUP(Governance!E94,Governance!$E$2:$E$101,Governance!$E$2:$E$101,0)</f>
        <v>77</v>
      </c>
      <c r="F94" s="6">
        <f>INDEX(Environmental!$A$2:$I$101,MATCH(Environmental!C94,Environmental!$C$2:$C$101,0),3)</f>
        <v>5655</v>
      </c>
      <c r="G94" s="6">
        <f>INDEX(Environmental!$A$2:$I$101,MATCH(Environmental!D94,Environmental!$D$2:$D$101,0),4)</f>
        <v>2914</v>
      </c>
      <c r="H94" s="6">
        <f>INDEX(Environmental!$A$2:$I$101,MATCH(Environmental!E94,Environmental!$E$2:$E$101,0),5)</f>
        <v>17708</v>
      </c>
      <c r="I94" s="6">
        <f>INDEX(Environmental!$A$2:$I$101,MATCH(Environmental!G94,Environmental!$G$2:$G$101,0),7)</f>
        <v>52</v>
      </c>
      <c r="J94" s="6">
        <f>INDEX(Social!$A$2:$G$101,MATCH(Social!C94,Social!$C$2:$C$101,0),3)</f>
        <v>33</v>
      </c>
      <c r="K94" s="6">
        <f>INDEX(Governance!$A$2:$F$101,MATCH(Governance!B94,Governance!$B$2:$B$101,0),2)</f>
        <v>41</v>
      </c>
      <c r="L94" s="6" t="str">
        <f>INDEX(Governance!A94:C193,1,3)</f>
        <v>No</v>
      </c>
    </row>
    <row r="95" spans="1:12" x14ac:dyDescent="0.35">
      <c r="A95" s="6">
        <f>INDEX(Company_Master!$A$2:$A$101,MATCH(Company_Master!A95,Company_Master!$A$2:$A$101,0))</f>
        <v>94</v>
      </c>
      <c r="B95" s="6" t="str">
        <f>INDEX(Company_Master!$C$2:$C$101,MATCH(Company_Master!C95,Company_Master!$C$2:$C$101,0))</f>
        <v>Technology</v>
      </c>
      <c r="C95" s="6" t="str">
        <f>_xlfn.XLOOKUP(A95,A95:A194,Company_Master!D95:D194,0)</f>
        <v>Australia</v>
      </c>
      <c r="D95" s="6">
        <f>INDEX(Company_Master!$A$2:$H$101,MATCH(Company_Master!F95,Company_Master!$F$2:$F$101,0),6)</f>
        <v>19269</v>
      </c>
      <c r="E95" s="6">
        <f>_xlfn.XLOOKUP(Governance!E95,Governance!$E$2:$E$101,Governance!$E$2:$E$101,0)</f>
        <v>80</v>
      </c>
      <c r="F95" s="6">
        <f>INDEX(Environmental!$A$2:$I$101,MATCH(Environmental!C95,Environmental!$C$2:$C$101,0),3)</f>
        <v>1070</v>
      </c>
      <c r="G95" s="6">
        <f>INDEX(Environmental!$A$2:$I$101,MATCH(Environmental!D95,Environmental!$D$2:$D$101,0),4)</f>
        <v>4615</v>
      </c>
      <c r="H95" s="6">
        <f>INDEX(Environmental!$A$2:$I$101,MATCH(Environmental!E95,Environmental!$E$2:$E$101,0),5)</f>
        <v>47190</v>
      </c>
      <c r="I95" s="6">
        <f>INDEX(Environmental!$A$2:$I$101,MATCH(Environmental!G95,Environmental!$G$2:$G$101,0),7)</f>
        <v>10</v>
      </c>
      <c r="J95" s="6">
        <f>INDEX(Social!$A$2:$G$101,MATCH(Social!C95,Social!$C$2:$C$101,0),3)</f>
        <v>42</v>
      </c>
      <c r="K95" s="6">
        <f>INDEX(Governance!$A$2:$F$101,MATCH(Governance!B95,Governance!$B$2:$B$101,0),2)</f>
        <v>100</v>
      </c>
      <c r="L95" s="6" t="str">
        <f>INDEX(Governance!A95:C194,1,3)</f>
        <v>No</v>
      </c>
    </row>
    <row r="96" spans="1:12" x14ac:dyDescent="0.35">
      <c r="A96" s="6">
        <f>INDEX(Company_Master!$A$2:$A$101,MATCH(Company_Master!A96,Company_Master!$A$2:$A$101,0))</f>
        <v>95</v>
      </c>
      <c r="B96" s="6" t="str">
        <f>INDEX(Company_Master!$C$2:$C$101,MATCH(Company_Master!C96,Company_Master!$C$2:$C$101,0))</f>
        <v>Retail</v>
      </c>
      <c r="C96" s="6" t="str">
        <f>_xlfn.XLOOKUP(A96,A96:A195,Company_Master!D96:D195,0)</f>
        <v>Australia</v>
      </c>
      <c r="D96" s="6">
        <f>INDEX(Company_Master!$A$2:$H$101,MATCH(Company_Master!F96,Company_Master!$F$2:$F$101,0),6)</f>
        <v>5759</v>
      </c>
      <c r="E96" s="6">
        <f>_xlfn.XLOOKUP(Governance!E96,Governance!$E$2:$E$101,Governance!$E$2:$E$101,0)</f>
        <v>70</v>
      </c>
      <c r="F96" s="6">
        <f>INDEX(Environmental!$A$2:$I$101,MATCH(Environmental!C96,Environmental!$C$2:$C$101,0),3)</f>
        <v>1745</v>
      </c>
      <c r="G96" s="6">
        <f>INDEX(Environmental!$A$2:$I$101,MATCH(Environmental!D96,Environmental!$D$2:$D$101,0),4)</f>
        <v>3841</v>
      </c>
      <c r="H96" s="6">
        <f>INDEX(Environmental!$A$2:$I$101,MATCH(Environmental!E96,Environmental!$E$2:$E$101,0),5)</f>
        <v>18419</v>
      </c>
      <c r="I96" s="6">
        <f>INDEX(Environmental!$A$2:$I$101,MATCH(Environmental!G96,Environmental!$G$2:$G$101,0),7)</f>
        <v>7</v>
      </c>
      <c r="J96" s="6">
        <f>INDEX(Social!$A$2:$G$101,MATCH(Social!C96,Social!$C$2:$C$101,0),3)</f>
        <v>60</v>
      </c>
      <c r="K96" s="6">
        <f>INDEX(Governance!$A$2:$F$101,MATCH(Governance!B96,Governance!$B$2:$B$101,0),2)</f>
        <v>98</v>
      </c>
      <c r="L96" s="6" t="str">
        <f>INDEX(Governance!A96:C195,1,3)</f>
        <v>Yes</v>
      </c>
    </row>
    <row r="97" spans="1:12" x14ac:dyDescent="0.35">
      <c r="A97" s="6">
        <f>INDEX(Company_Master!$A$2:$A$101,MATCH(Company_Master!A97,Company_Master!$A$2:$A$101,0))</f>
        <v>96</v>
      </c>
      <c r="B97" s="6" t="str">
        <f>INDEX(Company_Master!$C$2:$C$101,MATCH(Company_Master!C97,Company_Master!$C$2:$C$101,0))</f>
        <v>Finance</v>
      </c>
      <c r="C97" s="6" t="str">
        <f>_xlfn.XLOOKUP(A97,A97:A196,Company_Master!D97:D196,0)</f>
        <v>UK</v>
      </c>
      <c r="D97" s="6">
        <f>INDEX(Company_Master!$A$2:$H$101,MATCH(Company_Master!F97,Company_Master!$F$2:$F$101,0),6)</f>
        <v>8112</v>
      </c>
      <c r="E97" s="6">
        <f>_xlfn.XLOOKUP(Governance!E97,Governance!$E$2:$E$101,Governance!$E$2:$E$101,0)</f>
        <v>92</v>
      </c>
      <c r="F97" s="6">
        <f>INDEX(Environmental!$A$2:$I$101,MATCH(Environmental!C97,Environmental!$C$2:$C$101,0),3)</f>
        <v>841</v>
      </c>
      <c r="G97" s="6">
        <f>INDEX(Environmental!$A$2:$I$101,MATCH(Environmental!D97,Environmental!$D$2:$D$101,0),4)</f>
        <v>3738</v>
      </c>
      <c r="H97" s="6">
        <f>INDEX(Environmental!$A$2:$I$101,MATCH(Environmental!E97,Environmental!$E$2:$E$101,0),5)</f>
        <v>47926</v>
      </c>
      <c r="I97" s="6">
        <f>INDEX(Environmental!$A$2:$I$101,MATCH(Environmental!G97,Environmental!$G$2:$G$101,0),7)</f>
        <v>91</v>
      </c>
      <c r="J97" s="6">
        <f>INDEX(Social!$A$2:$G$101,MATCH(Social!C97,Social!$C$2:$C$101,0),3)</f>
        <v>53</v>
      </c>
      <c r="K97" s="6">
        <f>INDEX(Governance!$A$2:$F$101,MATCH(Governance!B97,Governance!$B$2:$B$101,0),2)</f>
        <v>65</v>
      </c>
      <c r="L97" s="6" t="str">
        <f>INDEX(Governance!A97:C196,1,3)</f>
        <v>Yes</v>
      </c>
    </row>
    <row r="98" spans="1:12" x14ac:dyDescent="0.35">
      <c r="A98" s="6">
        <f>INDEX(Company_Master!$A$2:$A$101,MATCH(Company_Master!A98,Company_Master!$A$2:$A$101,0))</f>
        <v>97</v>
      </c>
      <c r="B98" s="6" t="str">
        <f>INDEX(Company_Master!$C$2:$C$101,MATCH(Company_Master!C98,Company_Master!$C$2:$C$101,0))</f>
        <v>Finance</v>
      </c>
      <c r="C98" s="6" t="str">
        <f>_xlfn.XLOOKUP(A98,A98:A197,Company_Master!D98:D197,0)</f>
        <v>USA</v>
      </c>
      <c r="D98" s="6">
        <f>INDEX(Company_Master!$A$2:$H$101,MATCH(Company_Master!F98,Company_Master!$F$2:$F$101,0),6)</f>
        <v>17253</v>
      </c>
      <c r="E98" s="6">
        <f>_xlfn.XLOOKUP(Governance!E98,Governance!$E$2:$E$101,Governance!$E$2:$E$101,0)</f>
        <v>46</v>
      </c>
      <c r="F98" s="6">
        <f>INDEX(Environmental!$A$2:$I$101,MATCH(Environmental!C98,Environmental!$C$2:$C$101,0),3)</f>
        <v>145</v>
      </c>
      <c r="G98" s="6">
        <f>INDEX(Environmental!$A$2:$I$101,MATCH(Environmental!D98,Environmental!$D$2:$D$101,0),4)</f>
        <v>2721</v>
      </c>
      <c r="H98" s="6">
        <f>INDEX(Environmental!$A$2:$I$101,MATCH(Environmental!E98,Environmental!$E$2:$E$101,0),5)</f>
        <v>7239</v>
      </c>
      <c r="I98" s="6">
        <f>INDEX(Environmental!$A$2:$I$101,MATCH(Environmental!G98,Environmental!$G$2:$G$101,0),7)</f>
        <v>7</v>
      </c>
      <c r="J98" s="6">
        <f>INDEX(Social!$A$2:$G$101,MATCH(Social!C98,Social!$C$2:$C$101,0),3)</f>
        <v>20</v>
      </c>
      <c r="K98" s="6">
        <f>INDEX(Governance!$A$2:$F$101,MATCH(Governance!B98,Governance!$B$2:$B$101,0),2)</f>
        <v>81</v>
      </c>
      <c r="L98" s="6" t="str">
        <f>INDEX(Governance!A98:C197,1,3)</f>
        <v>Yes</v>
      </c>
    </row>
    <row r="99" spans="1:12" x14ac:dyDescent="0.35">
      <c r="A99" s="6">
        <f>INDEX(Company_Master!$A$2:$A$101,MATCH(Company_Master!A99,Company_Master!$A$2:$A$101,0))</f>
        <v>98</v>
      </c>
      <c r="B99" s="6" t="str">
        <f>INDEX(Company_Master!$C$2:$C$101,MATCH(Company_Master!C99,Company_Master!$C$2:$C$101,0))</f>
        <v>Energy</v>
      </c>
      <c r="C99" s="6" t="str">
        <f>_xlfn.XLOOKUP(A99,A99:A198,Company_Master!D99:D198,0)</f>
        <v>Germany</v>
      </c>
      <c r="D99" s="6">
        <f>INDEX(Company_Master!$A$2:$H$101,MATCH(Company_Master!F99,Company_Master!$F$2:$F$101,0),6)</f>
        <v>17356</v>
      </c>
      <c r="E99" s="6">
        <f>_xlfn.XLOOKUP(Governance!E99,Governance!$E$2:$E$101,Governance!$E$2:$E$101,0)</f>
        <v>65</v>
      </c>
      <c r="F99" s="6">
        <f>INDEX(Environmental!$A$2:$I$101,MATCH(Environmental!C99,Environmental!$C$2:$C$101,0),3)</f>
        <v>3489</v>
      </c>
      <c r="G99" s="6">
        <f>INDEX(Environmental!$A$2:$I$101,MATCH(Environmental!D99,Environmental!$D$2:$D$101,0),4)</f>
        <v>3527</v>
      </c>
      <c r="H99" s="6">
        <f>INDEX(Environmental!$A$2:$I$101,MATCH(Environmental!E99,Environmental!$E$2:$E$101,0),5)</f>
        <v>35029</v>
      </c>
      <c r="I99" s="6">
        <f>INDEX(Environmental!$A$2:$I$101,MATCH(Environmental!G99,Environmental!$G$2:$G$101,0),7)</f>
        <v>52</v>
      </c>
      <c r="J99" s="6">
        <f>INDEX(Social!$A$2:$G$101,MATCH(Social!C99,Social!$C$2:$C$101,0),3)</f>
        <v>26</v>
      </c>
      <c r="K99" s="6">
        <f>INDEX(Governance!$A$2:$F$101,MATCH(Governance!B99,Governance!$B$2:$B$101,0),2)</f>
        <v>100</v>
      </c>
      <c r="L99" s="6" t="str">
        <f>INDEX(Governance!A99:C198,1,3)</f>
        <v>No</v>
      </c>
    </row>
    <row r="100" spans="1:12" x14ac:dyDescent="0.35">
      <c r="A100" s="6">
        <f>INDEX(Company_Master!$A$2:$A$101,MATCH(Company_Master!A100,Company_Master!$A$2:$A$101,0))</f>
        <v>99</v>
      </c>
      <c r="B100" s="6" t="str">
        <f>INDEX(Company_Master!$C$2:$C$101,MATCH(Company_Master!C100,Company_Master!$C$2:$C$101,0))</f>
        <v>Manufacturing</v>
      </c>
      <c r="C100" s="6" t="str">
        <f>_xlfn.XLOOKUP(A100,A100:A199,Company_Master!D100:D199,0)</f>
        <v>USA</v>
      </c>
      <c r="D100" s="6">
        <f>INDEX(Company_Master!$A$2:$H$101,MATCH(Company_Master!F100,Company_Master!$F$2:$F$101,0),6)</f>
        <v>28910</v>
      </c>
      <c r="E100" s="6">
        <f>_xlfn.XLOOKUP(Governance!E100,Governance!$E$2:$E$101,Governance!$E$2:$E$101,0)</f>
        <v>51</v>
      </c>
      <c r="F100" s="6">
        <f>INDEX(Environmental!$A$2:$I$101,MATCH(Environmental!C100,Environmental!$C$2:$C$101,0),3)</f>
        <v>3671</v>
      </c>
      <c r="G100" s="6">
        <f>INDEX(Environmental!$A$2:$I$101,MATCH(Environmental!D100,Environmental!$D$2:$D$101,0),4)</f>
        <v>2519</v>
      </c>
      <c r="H100" s="6">
        <f>INDEX(Environmental!$A$2:$I$101,MATCH(Environmental!E100,Environmental!$E$2:$E$101,0),5)</f>
        <v>28508</v>
      </c>
      <c r="I100" s="6">
        <f>INDEX(Environmental!$A$2:$I$101,MATCH(Environmental!G100,Environmental!$G$2:$G$101,0),7)</f>
        <v>73</v>
      </c>
      <c r="J100" s="6">
        <f>INDEX(Social!$A$2:$G$101,MATCH(Social!C100,Social!$C$2:$C$101,0),3)</f>
        <v>23</v>
      </c>
      <c r="K100" s="6">
        <f>INDEX(Governance!$A$2:$F$101,MATCH(Governance!B100,Governance!$B$2:$B$101,0),2)</f>
        <v>83</v>
      </c>
      <c r="L100" s="6" t="str">
        <f>INDEX(Governance!A100:C199,1,3)</f>
        <v>No</v>
      </c>
    </row>
    <row r="101" spans="1:12" x14ac:dyDescent="0.35">
      <c r="A101" s="6">
        <f>INDEX(Company_Master!$A$2:$A$101,MATCH(Company_Master!A101,Company_Master!$A$2:$A$101,0))</f>
        <v>100</v>
      </c>
      <c r="B101" s="6" t="str">
        <f>INDEX(Company_Master!$C$2:$C$101,MATCH(Company_Master!C101,Company_Master!$C$2:$C$101,0))</f>
        <v>Manufacturing</v>
      </c>
      <c r="C101" s="6" t="str">
        <f>_xlfn.XLOOKUP(A101,A101:A200,Company_Master!D101:D200,0)</f>
        <v>USA</v>
      </c>
      <c r="D101" s="6">
        <f>INDEX(Company_Master!$A$2:$H$101,MATCH(Company_Master!F101,Company_Master!$F$2:$F$101,0),6)</f>
        <v>6148</v>
      </c>
      <c r="E101" s="6">
        <f>_xlfn.XLOOKUP(Governance!E101,Governance!$E$2:$E$101,Governance!$E$2:$E$101,0)</f>
        <v>84</v>
      </c>
      <c r="F101" s="6">
        <f>INDEX(Environmental!$A$2:$I$101,MATCH(Environmental!C101,Environmental!$C$2:$C$101,0),3)</f>
        <v>7855</v>
      </c>
      <c r="G101" s="6">
        <f>INDEX(Environmental!$A$2:$I$101,MATCH(Environmental!D101,Environmental!$D$2:$D$101,0),4)</f>
        <v>2503</v>
      </c>
      <c r="H101" s="6">
        <f>INDEX(Environmental!$A$2:$I$101,MATCH(Environmental!E101,Environmental!$E$2:$E$101,0),5)</f>
        <v>40862</v>
      </c>
      <c r="I101" s="6">
        <f>INDEX(Environmental!$A$2:$I$101,MATCH(Environmental!G101,Environmental!$G$2:$G$101,0),7)</f>
        <v>43</v>
      </c>
      <c r="J101" s="6">
        <f>INDEX(Social!$A$2:$G$101,MATCH(Social!C101,Social!$C$2:$C$101,0),3)</f>
        <v>12</v>
      </c>
      <c r="K101" s="6">
        <f>INDEX(Governance!$A$2:$F$101,MATCH(Governance!B101,Governance!$B$2:$B$101,0),2)</f>
        <v>68</v>
      </c>
      <c r="L101" s="6" t="str">
        <f>INDEX(Governance!A101:C200,1,3)</f>
        <v>Yes</v>
      </c>
    </row>
  </sheetData>
  <sheetProtection autoFilter="0" pivotTables="0"/>
  <phoneticPr fontId="3" type="noConversion"/>
  <dataValidations count="1">
    <dataValidation type="list" allowBlank="1" showInputMessage="1" showErrorMessage="1" errorTitle="Invalid ID number" error="The ID number does not exist" promptTitle="Company ID" prompt="Choose the Company ID to display the company's full ESG profile" sqref="O8" xr:uid="{5D8A9234-A9D1-4E13-9256-79595885071E}">
      <formula1>$A$2:$A$101</formula1>
    </dataValidation>
  </dataValidations>
  <pageMargins left="0.7" right="0.7" top="0.75" bottom="0.75" header="0.3" footer="0.3"/>
  <ignoredErrors>
    <ignoredError sqref="O1 O2:O5"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macro="[0]!SlicerConnection">
                <anchor moveWithCells="1">
                  <from>
                    <xdr:col>15</xdr:col>
                    <xdr:colOff>247650</xdr:colOff>
                    <xdr:row>28</xdr:row>
                    <xdr:rowOff>152400</xdr:rowOff>
                  </from>
                  <to>
                    <xdr:col>15</xdr:col>
                    <xdr:colOff>1225550</xdr:colOff>
                    <xdr:row>30</xdr:row>
                    <xdr:rowOff>19050</xdr:rowOff>
                  </to>
                </anchor>
              </controlPr>
            </control>
          </mc:Choice>
        </mc:AlternateContent>
        <mc:AlternateContent xmlns:mc="http://schemas.openxmlformats.org/markup-compatibility/2006">
          <mc:Choice Requires="x14">
            <control shapeId="1031" r:id="rId7" name="Check Box 7">
              <controlPr defaultSize="0" autoFill="0" autoLine="0" autoPict="0" macro="[0]!SlicerConnection2">
                <anchor moveWithCells="1">
                  <from>
                    <xdr:col>21</xdr:col>
                    <xdr:colOff>152400</xdr:colOff>
                    <xdr:row>29</xdr:row>
                    <xdr:rowOff>6350</xdr:rowOff>
                  </from>
                  <to>
                    <xdr:col>21</xdr:col>
                    <xdr:colOff>1047750</xdr:colOff>
                    <xdr:row>30</xdr:row>
                    <xdr:rowOff>19050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D8B7C-4384-4BD0-9741-7E31EB3459D9}">
  <sheetPr codeName="Sheet8"/>
  <dimension ref="A1:D101"/>
  <sheetViews>
    <sheetView workbookViewId="0">
      <selection activeCell="D13" sqref="D13"/>
    </sheetView>
  </sheetViews>
  <sheetFormatPr defaultRowHeight="14.5" x14ac:dyDescent="0.35"/>
  <cols>
    <col min="1" max="1" width="14.6328125" bestFit="1" customWidth="1"/>
    <col min="2" max="2" width="12.54296875" bestFit="1" customWidth="1"/>
    <col min="3" max="3" width="10.26953125" bestFit="1" customWidth="1"/>
    <col min="4" max="4" width="15.90625" bestFit="1" customWidth="1"/>
  </cols>
  <sheetData>
    <row r="1" spans="1:4" x14ac:dyDescent="0.35">
      <c r="A1" s="25" t="s">
        <v>0</v>
      </c>
      <c r="B1" s="25" t="s">
        <v>2</v>
      </c>
      <c r="C1" s="25" t="s">
        <v>3</v>
      </c>
      <c r="D1" s="25" t="s">
        <v>177</v>
      </c>
    </row>
    <row r="2" spans="1:4" x14ac:dyDescent="0.35">
      <c r="A2" s="26">
        <f>INDEX(Company_Master!$A$2:$D$101,MATCH(Company_Master!A2,Company_Master!$A$2:$A$101,0),1)</f>
        <v>1</v>
      </c>
      <c r="B2" s="26" t="str">
        <f>INDEX(Company_Master!$A$2:$D$101,MATCH(Company_Master!C2,Company_Master!$C$2:$C$101,0),3)</f>
        <v>Healthcare</v>
      </c>
      <c r="C2" s="26" t="str">
        <f>INDEX(Company_Master!$A$2:$D$101,MATCH(Company_Master!D2,Company_Master!$D$2:$D$101,0),4)</f>
        <v>UK</v>
      </c>
      <c r="D2" s="26" t="str">
        <f>_xlfn.XLOOKUP(Table1[[#This Row],[ESG Risk Tier (IFS) ]],Table1[ESG Risk Tier (IFS) ],Table1[ESG Risk Tier (IFS) ],"Not Found",0)</f>
        <v>High Risk</v>
      </c>
    </row>
    <row r="3" spans="1:4" x14ac:dyDescent="0.35">
      <c r="A3" s="27">
        <f>INDEX(Company_Master!$A$2:$D$101,MATCH(Company_Master!A3,Company_Master!$A$2:$A$101,0),1)</f>
        <v>2</v>
      </c>
      <c r="B3" s="27" t="str">
        <f>INDEX(Company_Master!$A$2:$D$101,MATCH(Company_Master!C3,Company_Master!$C$2:$C$101,0),3)</f>
        <v>Finance</v>
      </c>
      <c r="C3" s="27" t="str">
        <f>INDEX(Company_Master!$A$2:$D$101,MATCH(Company_Master!D3,Company_Master!$D$2:$D$101,0),4)</f>
        <v>USA</v>
      </c>
      <c r="D3" s="27" t="str">
        <f>_xlfn.XLOOKUP(Table1[[#This Row],[ESG Risk Tier (IFS) ]],Table1[ESG Risk Tier (IFS) ],Table1[ESG Risk Tier (IFS) ],"Not Found",0)</f>
        <v>Low Risk</v>
      </c>
    </row>
    <row r="4" spans="1:4" x14ac:dyDescent="0.35">
      <c r="A4" s="26">
        <f>INDEX(Company_Master!$A$2:$D$101,MATCH(Company_Master!A4,Company_Master!$A$2:$A$101,0),1)</f>
        <v>3</v>
      </c>
      <c r="B4" s="26" t="str">
        <f>INDEX(Company_Master!$A$2:$D$101,MATCH(Company_Master!C4,Company_Master!$C$2:$C$101,0),3)</f>
        <v>Retail</v>
      </c>
      <c r="C4" s="26" t="str">
        <f>INDEX(Company_Master!$A$2:$D$101,MATCH(Company_Master!D4,Company_Master!$D$2:$D$101,0),4)</f>
        <v>USA</v>
      </c>
      <c r="D4" s="26" t="str">
        <f>_xlfn.XLOOKUP(Table1[[#This Row],[ESG Risk Tier (IFS) ]],Table1[ESG Risk Tier (IFS) ],Table1[ESG Risk Tier (IFS) ],"Not Found",0)</f>
        <v>Medium Risk</v>
      </c>
    </row>
    <row r="5" spans="1:4" x14ac:dyDescent="0.35">
      <c r="A5" s="27">
        <f>INDEX(Company_Master!$A$2:$D$101,MATCH(Company_Master!A5,Company_Master!$A$2:$A$101,0),1)</f>
        <v>4</v>
      </c>
      <c r="B5" s="27" t="str">
        <f>INDEX(Company_Master!$A$2:$D$101,MATCH(Company_Master!C5,Company_Master!$C$2:$C$101,0),3)</f>
        <v>Healthcare</v>
      </c>
      <c r="C5" s="27" t="str">
        <f>INDEX(Company_Master!$A$2:$D$101,MATCH(Company_Master!D5,Company_Master!$D$2:$D$101,0),4)</f>
        <v>Japan</v>
      </c>
      <c r="D5" s="27" t="str">
        <f>_xlfn.XLOOKUP(Table1[[#This Row],[ESG Risk Tier (IFS) ]],Table1[ESG Risk Tier (IFS) ],Table1[ESG Risk Tier (IFS) ],"Not Found",0)</f>
        <v>Medium Risk</v>
      </c>
    </row>
    <row r="6" spans="1:4" x14ac:dyDescent="0.35">
      <c r="A6" s="26">
        <f>INDEX(Company_Master!$A$2:$D$101,MATCH(Company_Master!A6,Company_Master!$A$2:$A$101,0),1)</f>
        <v>5</v>
      </c>
      <c r="B6" s="26" t="str">
        <f>INDEX(Company_Master!$A$2:$D$101,MATCH(Company_Master!C6,Company_Master!$C$2:$C$101,0),3)</f>
        <v>Manufacturing</v>
      </c>
      <c r="C6" s="26" t="str">
        <f>INDEX(Company_Master!$A$2:$D$101,MATCH(Company_Master!D6,Company_Master!$D$2:$D$101,0),4)</f>
        <v>Australia</v>
      </c>
      <c r="D6" s="26" t="str">
        <f>_xlfn.XLOOKUP(Table1[[#This Row],[ESG Risk Tier (IFS) ]],Table1[ESG Risk Tier (IFS) ],Table1[ESG Risk Tier (IFS) ],"Not Found",0)</f>
        <v>Medium Risk</v>
      </c>
    </row>
    <row r="7" spans="1:4" x14ac:dyDescent="0.35">
      <c r="A7" s="27">
        <f>INDEX(Company_Master!$A$2:$D$101,MATCH(Company_Master!A7,Company_Master!$A$2:$A$101,0),1)</f>
        <v>6</v>
      </c>
      <c r="B7" s="27" t="str">
        <f>INDEX(Company_Master!$A$2:$D$101,MATCH(Company_Master!C7,Company_Master!$C$2:$C$101,0),3)</f>
        <v>Retail</v>
      </c>
      <c r="C7" s="27" t="str">
        <f>INDEX(Company_Master!$A$2:$D$101,MATCH(Company_Master!D7,Company_Master!$D$2:$D$101,0),4)</f>
        <v>Canada</v>
      </c>
      <c r="D7" s="27" t="str">
        <f>_xlfn.XLOOKUP(Table1[[#This Row],[ESG Risk Tier (IFS) ]],Table1[ESG Risk Tier (IFS) ],Table1[ESG Risk Tier (IFS) ],"Not Found",0)</f>
        <v>Low Risk</v>
      </c>
    </row>
    <row r="8" spans="1:4" x14ac:dyDescent="0.35">
      <c r="A8" s="26">
        <f>INDEX(Company_Master!$A$2:$D$101,MATCH(Company_Master!A8,Company_Master!$A$2:$A$101,0),1)</f>
        <v>7</v>
      </c>
      <c r="B8" s="26" t="str">
        <f>INDEX(Company_Master!$A$2:$D$101,MATCH(Company_Master!C8,Company_Master!$C$2:$C$101,0),3)</f>
        <v>Retail</v>
      </c>
      <c r="C8" s="26" t="str">
        <f>INDEX(Company_Master!$A$2:$D$101,MATCH(Company_Master!D8,Company_Master!$D$2:$D$101,0),4)</f>
        <v>Canada</v>
      </c>
      <c r="D8" s="26" t="str">
        <f>_xlfn.XLOOKUP(Table1[[#This Row],[ESG Risk Tier (IFS) ]],Table1[ESG Risk Tier (IFS) ],Table1[ESG Risk Tier (IFS) ],"Not Found",0)</f>
        <v>High Risk</v>
      </c>
    </row>
    <row r="9" spans="1:4" x14ac:dyDescent="0.35">
      <c r="A9" s="27">
        <f>INDEX(Company_Master!$A$2:$D$101,MATCH(Company_Master!A9,Company_Master!$A$2:$A$101,0),1)</f>
        <v>8</v>
      </c>
      <c r="B9" s="27" t="str">
        <f>INDEX(Company_Master!$A$2:$D$101,MATCH(Company_Master!C9,Company_Master!$C$2:$C$101,0),3)</f>
        <v>Finance</v>
      </c>
      <c r="C9" s="27" t="str">
        <f>INDEX(Company_Master!$A$2:$D$101,MATCH(Company_Master!D9,Company_Master!$D$2:$D$101,0),4)</f>
        <v>Canada</v>
      </c>
      <c r="D9" s="27" t="str">
        <f>_xlfn.XLOOKUP(Table1[[#This Row],[ESG Risk Tier (IFS) ]],Table1[ESG Risk Tier (IFS) ],Table1[ESG Risk Tier (IFS) ],"Not Found",0)</f>
        <v>High Risk</v>
      </c>
    </row>
    <row r="10" spans="1:4" x14ac:dyDescent="0.35">
      <c r="A10" s="26">
        <f>INDEX(Company_Master!$A$2:$D$101,MATCH(Company_Master!A10,Company_Master!$A$2:$A$101,0),1)</f>
        <v>9</v>
      </c>
      <c r="B10" s="26" t="str">
        <f>INDEX(Company_Master!$A$2:$D$101,MATCH(Company_Master!C10,Company_Master!$C$2:$C$101,0),3)</f>
        <v>Energy</v>
      </c>
      <c r="C10" s="26" t="str">
        <f>INDEX(Company_Master!$A$2:$D$101,MATCH(Company_Master!D10,Company_Master!$D$2:$D$101,0),4)</f>
        <v>Australia</v>
      </c>
      <c r="D10" s="26" t="str">
        <f>_xlfn.XLOOKUP(Table1[[#This Row],[ESG Risk Tier (IFS) ]],Table1[ESG Risk Tier (IFS) ],Table1[ESG Risk Tier (IFS) ],"Not Found",0)</f>
        <v>Low Risk</v>
      </c>
    </row>
    <row r="11" spans="1:4" x14ac:dyDescent="0.35">
      <c r="A11" s="27">
        <f>INDEX(Company_Master!$A$2:$D$101,MATCH(Company_Master!A11,Company_Master!$A$2:$A$101,0),1)</f>
        <v>10</v>
      </c>
      <c r="B11" s="27" t="str">
        <f>INDEX(Company_Master!$A$2:$D$101,MATCH(Company_Master!C11,Company_Master!$C$2:$C$101,0),3)</f>
        <v>Technology</v>
      </c>
      <c r="C11" s="27" t="str">
        <f>INDEX(Company_Master!$A$2:$D$101,MATCH(Company_Master!D11,Company_Master!$D$2:$D$101,0),4)</f>
        <v>Australia</v>
      </c>
      <c r="D11" s="27" t="str">
        <f>_xlfn.XLOOKUP(Table1[[#This Row],[ESG Risk Tier (IFS) ]],Table1[ESG Risk Tier (IFS) ],Table1[ESG Risk Tier (IFS) ],"Not Found",0)</f>
        <v>Medium Risk</v>
      </c>
    </row>
    <row r="12" spans="1:4" x14ac:dyDescent="0.35">
      <c r="A12" s="26">
        <f>INDEX(Company_Master!$A$2:$D$101,MATCH(Company_Master!A12,Company_Master!$A$2:$A$101,0),1)</f>
        <v>11</v>
      </c>
      <c r="B12" s="26" t="str">
        <f>INDEX(Company_Master!$A$2:$D$101,MATCH(Company_Master!C12,Company_Master!$C$2:$C$101,0),3)</f>
        <v>Finance</v>
      </c>
      <c r="C12" s="26" t="str">
        <f>INDEX(Company_Master!$A$2:$D$101,MATCH(Company_Master!D12,Company_Master!$D$2:$D$101,0),4)</f>
        <v>USA</v>
      </c>
      <c r="D12" s="26" t="str">
        <f>_xlfn.XLOOKUP(Table1[[#This Row],[ESG Risk Tier (IFS) ]],Table1[ESG Risk Tier (IFS) ],Table1[ESG Risk Tier (IFS) ],"Not Found",0)</f>
        <v>Medium Risk</v>
      </c>
    </row>
    <row r="13" spans="1:4" x14ac:dyDescent="0.35">
      <c r="A13" s="27">
        <f>INDEX(Company_Master!$A$2:$D$101,MATCH(Company_Master!A13,Company_Master!$A$2:$A$101,0),1)</f>
        <v>12</v>
      </c>
      <c r="B13" s="27" t="str">
        <f>INDEX(Company_Master!$A$2:$D$101,MATCH(Company_Master!C13,Company_Master!$C$2:$C$101,0),3)</f>
        <v>Technology</v>
      </c>
      <c r="C13" s="27" t="str">
        <f>INDEX(Company_Master!$A$2:$D$101,MATCH(Company_Master!D13,Company_Master!$D$2:$D$101,0),4)</f>
        <v>Germany</v>
      </c>
      <c r="D13" s="27" t="str">
        <f>_xlfn.XLOOKUP(Table1[[#This Row],[ESG Risk Tier (IFS) ]],Table1[ESG Risk Tier (IFS) ],Table1[ESG Risk Tier (IFS) ],"Not Found",0)</f>
        <v>Medium Risk</v>
      </c>
    </row>
    <row r="14" spans="1:4" x14ac:dyDescent="0.35">
      <c r="A14" s="26">
        <f>INDEX(Company_Master!$A$2:$D$101,MATCH(Company_Master!A14,Company_Master!$A$2:$A$101,0),1)</f>
        <v>13</v>
      </c>
      <c r="B14" s="26" t="str">
        <f>INDEX(Company_Master!$A$2:$D$101,MATCH(Company_Master!C14,Company_Master!$C$2:$C$101,0),3)</f>
        <v>Healthcare</v>
      </c>
      <c r="C14" s="26" t="str">
        <f>INDEX(Company_Master!$A$2:$D$101,MATCH(Company_Master!D14,Company_Master!$D$2:$D$101,0),4)</f>
        <v>UK</v>
      </c>
      <c r="D14" s="26" t="str">
        <f>_xlfn.XLOOKUP(Table1[[#This Row],[ESG Risk Tier (IFS) ]],Table1[ESG Risk Tier (IFS) ],Table1[ESG Risk Tier (IFS) ],"Not Found",0)</f>
        <v>Medium Risk</v>
      </c>
    </row>
    <row r="15" spans="1:4" x14ac:dyDescent="0.35">
      <c r="A15" s="27">
        <f>INDEX(Company_Master!$A$2:$D$101,MATCH(Company_Master!A15,Company_Master!$A$2:$A$101,0),1)</f>
        <v>14</v>
      </c>
      <c r="B15" s="27" t="str">
        <f>INDEX(Company_Master!$A$2:$D$101,MATCH(Company_Master!C15,Company_Master!$C$2:$C$101,0),3)</f>
        <v>Manufacturing</v>
      </c>
      <c r="C15" s="27" t="str">
        <f>INDEX(Company_Master!$A$2:$D$101,MATCH(Company_Master!D15,Company_Master!$D$2:$D$101,0),4)</f>
        <v>Japan</v>
      </c>
      <c r="D15" s="27" t="str">
        <f>_xlfn.XLOOKUP(Table1[[#This Row],[ESG Risk Tier (IFS) ]],Table1[ESG Risk Tier (IFS) ],Table1[ESG Risk Tier (IFS) ],"Not Found",0)</f>
        <v>Medium Risk</v>
      </c>
    </row>
    <row r="16" spans="1:4" x14ac:dyDescent="0.35">
      <c r="A16" s="26">
        <f>INDEX(Company_Master!$A$2:$D$101,MATCH(Company_Master!A16,Company_Master!$A$2:$A$101,0),1)</f>
        <v>15</v>
      </c>
      <c r="B16" s="26" t="str">
        <f>INDEX(Company_Master!$A$2:$D$101,MATCH(Company_Master!C16,Company_Master!$C$2:$C$101,0),3)</f>
        <v>Finance</v>
      </c>
      <c r="C16" s="26" t="str">
        <f>INDEX(Company_Master!$A$2:$D$101,MATCH(Company_Master!D16,Company_Master!$D$2:$D$101,0),4)</f>
        <v>Germany</v>
      </c>
      <c r="D16" s="26" t="str">
        <f>_xlfn.XLOOKUP(Table1[[#This Row],[ESG Risk Tier (IFS) ]],Table1[ESG Risk Tier (IFS) ],Table1[ESG Risk Tier (IFS) ],"Not Found",0)</f>
        <v>Medium Risk</v>
      </c>
    </row>
    <row r="17" spans="1:4" x14ac:dyDescent="0.35">
      <c r="A17" s="27">
        <f>INDEX(Company_Master!$A$2:$D$101,MATCH(Company_Master!A17,Company_Master!$A$2:$A$101,0),1)</f>
        <v>16</v>
      </c>
      <c r="B17" s="27" t="str">
        <f>INDEX(Company_Master!$A$2:$D$101,MATCH(Company_Master!C17,Company_Master!$C$2:$C$101,0),3)</f>
        <v>Energy</v>
      </c>
      <c r="C17" s="27" t="str">
        <f>INDEX(Company_Master!$A$2:$D$101,MATCH(Company_Master!D17,Company_Master!$D$2:$D$101,0),4)</f>
        <v>Australia</v>
      </c>
      <c r="D17" s="27" t="str">
        <f>_xlfn.XLOOKUP(Table1[[#This Row],[ESG Risk Tier (IFS) ]],Table1[ESG Risk Tier (IFS) ],Table1[ESG Risk Tier (IFS) ],"Not Found",0)</f>
        <v>Low Risk</v>
      </c>
    </row>
    <row r="18" spans="1:4" x14ac:dyDescent="0.35">
      <c r="A18" s="26">
        <f>INDEX(Company_Master!$A$2:$D$101,MATCH(Company_Master!A18,Company_Master!$A$2:$A$101,0),1)</f>
        <v>17</v>
      </c>
      <c r="B18" s="26" t="str">
        <f>INDEX(Company_Master!$A$2:$D$101,MATCH(Company_Master!C18,Company_Master!$C$2:$C$101,0),3)</f>
        <v>Finance</v>
      </c>
      <c r="C18" s="26" t="str">
        <f>INDEX(Company_Master!$A$2:$D$101,MATCH(Company_Master!D18,Company_Master!$D$2:$D$101,0),4)</f>
        <v>Germany</v>
      </c>
      <c r="D18" s="26" t="str">
        <f>_xlfn.XLOOKUP(Table1[[#This Row],[ESG Risk Tier (IFS) ]],Table1[ESG Risk Tier (IFS) ],Table1[ESG Risk Tier (IFS) ],"Not Found",0)</f>
        <v>Medium Risk</v>
      </c>
    </row>
    <row r="19" spans="1:4" x14ac:dyDescent="0.35">
      <c r="A19" s="27">
        <f>INDEX(Company_Master!$A$2:$D$101,MATCH(Company_Master!A19,Company_Master!$A$2:$A$101,0),1)</f>
        <v>18</v>
      </c>
      <c r="B19" s="27" t="str">
        <f>INDEX(Company_Master!$A$2:$D$101,MATCH(Company_Master!C19,Company_Master!$C$2:$C$101,0),3)</f>
        <v>Energy</v>
      </c>
      <c r="C19" s="27" t="str">
        <f>INDEX(Company_Master!$A$2:$D$101,MATCH(Company_Master!D19,Company_Master!$D$2:$D$101,0),4)</f>
        <v>Germany</v>
      </c>
      <c r="D19" s="27" t="str">
        <f>_xlfn.XLOOKUP(Table1[[#This Row],[ESG Risk Tier (IFS) ]],Table1[ESG Risk Tier (IFS) ],Table1[ESG Risk Tier (IFS) ],"Not Found",0)</f>
        <v>Medium Risk</v>
      </c>
    </row>
    <row r="20" spans="1:4" x14ac:dyDescent="0.35">
      <c r="A20" s="26">
        <f>INDEX(Company_Master!$A$2:$D$101,MATCH(Company_Master!A20,Company_Master!$A$2:$A$101,0),1)</f>
        <v>19</v>
      </c>
      <c r="B20" s="26" t="str">
        <f>INDEX(Company_Master!$A$2:$D$101,MATCH(Company_Master!C20,Company_Master!$C$2:$C$101,0),3)</f>
        <v>Finance</v>
      </c>
      <c r="C20" s="26" t="str">
        <f>INDEX(Company_Master!$A$2:$D$101,MATCH(Company_Master!D20,Company_Master!$D$2:$D$101,0),4)</f>
        <v>Japan</v>
      </c>
      <c r="D20" s="26" t="str">
        <f>_xlfn.XLOOKUP(Table1[[#This Row],[ESG Risk Tier (IFS) ]],Table1[ESG Risk Tier (IFS) ],Table1[ESG Risk Tier (IFS) ],"Not Found",0)</f>
        <v>Low Risk</v>
      </c>
    </row>
    <row r="21" spans="1:4" x14ac:dyDescent="0.35">
      <c r="A21" s="27">
        <f>INDEX(Company_Master!$A$2:$D$101,MATCH(Company_Master!A21,Company_Master!$A$2:$A$101,0),1)</f>
        <v>20</v>
      </c>
      <c r="B21" s="27" t="str">
        <f>INDEX(Company_Master!$A$2:$D$101,MATCH(Company_Master!C21,Company_Master!$C$2:$C$101,0),3)</f>
        <v>Manufacturing</v>
      </c>
      <c r="C21" s="27" t="str">
        <f>INDEX(Company_Master!$A$2:$D$101,MATCH(Company_Master!D21,Company_Master!$D$2:$D$101,0),4)</f>
        <v>UK</v>
      </c>
      <c r="D21" s="27" t="str">
        <f>_xlfn.XLOOKUP(Table1[[#This Row],[ESG Risk Tier (IFS) ]],Table1[ESG Risk Tier (IFS) ],Table1[ESG Risk Tier (IFS) ],"Not Found",0)</f>
        <v>Medium Risk</v>
      </c>
    </row>
    <row r="22" spans="1:4" x14ac:dyDescent="0.35">
      <c r="A22" s="26">
        <f>INDEX(Company_Master!$A$2:$D$101,MATCH(Company_Master!A22,Company_Master!$A$2:$A$101,0),1)</f>
        <v>21</v>
      </c>
      <c r="B22" s="26" t="str">
        <f>INDEX(Company_Master!$A$2:$D$101,MATCH(Company_Master!C22,Company_Master!$C$2:$C$101,0),3)</f>
        <v>Manufacturing</v>
      </c>
      <c r="C22" s="26" t="str">
        <f>INDEX(Company_Master!$A$2:$D$101,MATCH(Company_Master!D22,Company_Master!$D$2:$D$101,0),4)</f>
        <v>USA</v>
      </c>
      <c r="D22" s="26" t="str">
        <f>_xlfn.XLOOKUP(Table1[[#This Row],[ESG Risk Tier (IFS) ]],Table1[ESG Risk Tier (IFS) ],Table1[ESG Risk Tier (IFS) ],"Not Found",0)</f>
        <v>Medium Risk</v>
      </c>
    </row>
    <row r="23" spans="1:4" x14ac:dyDescent="0.35">
      <c r="A23" s="27">
        <f>INDEX(Company_Master!$A$2:$D$101,MATCH(Company_Master!A23,Company_Master!$A$2:$A$101,0),1)</f>
        <v>22</v>
      </c>
      <c r="B23" s="27" t="str">
        <f>INDEX(Company_Master!$A$2:$D$101,MATCH(Company_Master!C23,Company_Master!$C$2:$C$101,0),3)</f>
        <v>Healthcare</v>
      </c>
      <c r="C23" s="27" t="str">
        <f>INDEX(Company_Master!$A$2:$D$101,MATCH(Company_Master!D23,Company_Master!$D$2:$D$101,0),4)</f>
        <v>Japan</v>
      </c>
      <c r="D23" s="27" t="str">
        <f>_xlfn.XLOOKUP(Table1[[#This Row],[ESG Risk Tier (IFS) ]],Table1[ESG Risk Tier (IFS) ],Table1[ESG Risk Tier (IFS) ],"Not Found",0)</f>
        <v>Medium Risk</v>
      </c>
    </row>
    <row r="24" spans="1:4" x14ac:dyDescent="0.35">
      <c r="A24" s="26">
        <f>INDEX(Company_Master!$A$2:$D$101,MATCH(Company_Master!A24,Company_Master!$A$2:$A$101,0),1)</f>
        <v>23</v>
      </c>
      <c r="B24" s="26" t="str">
        <f>INDEX(Company_Master!$A$2:$D$101,MATCH(Company_Master!C24,Company_Master!$C$2:$C$101,0),3)</f>
        <v>Finance</v>
      </c>
      <c r="C24" s="26" t="str">
        <f>INDEX(Company_Master!$A$2:$D$101,MATCH(Company_Master!D24,Company_Master!$D$2:$D$101,0),4)</f>
        <v>Germany</v>
      </c>
      <c r="D24" s="26" t="str">
        <f>_xlfn.XLOOKUP(Table1[[#This Row],[ESG Risk Tier (IFS) ]],Table1[ESG Risk Tier (IFS) ],Table1[ESG Risk Tier (IFS) ],"Not Found",0)</f>
        <v>High Risk</v>
      </c>
    </row>
    <row r="25" spans="1:4" x14ac:dyDescent="0.35">
      <c r="A25" s="27">
        <f>INDEX(Company_Master!$A$2:$D$101,MATCH(Company_Master!A25,Company_Master!$A$2:$A$101,0),1)</f>
        <v>24</v>
      </c>
      <c r="B25" s="27" t="str">
        <f>INDEX(Company_Master!$A$2:$D$101,MATCH(Company_Master!C25,Company_Master!$C$2:$C$101,0),3)</f>
        <v>Energy</v>
      </c>
      <c r="C25" s="27" t="str">
        <f>INDEX(Company_Master!$A$2:$D$101,MATCH(Company_Master!D25,Company_Master!$D$2:$D$101,0),4)</f>
        <v>Japan</v>
      </c>
      <c r="D25" s="27" t="str">
        <f>_xlfn.XLOOKUP(Table1[[#This Row],[ESG Risk Tier (IFS) ]],Table1[ESG Risk Tier (IFS) ],Table1[ESG Risk Tier (IFS) ],"Not Found",0)</f>
        <v>High Risk</v>
      </c>
    </row>
    <row r="26" spans="1:4" x14ac:dyDescent="0.35">
      <c r="A26" s="26">
        <f>INDEX(Company_Master!$A$2:$D$101,MATCH(Company_Master!A26,Company_Master!$A$2:$A$101,0),1)</f>
        <v>25</v>
      </c>
      <c r="B26" s="26" t="str">
        <f>INDEX(Company_Master!$A$2:$D$101,MATCH(Company_Master!C26,Company_Master!$C$2:$C$101,0),3)</f>
        <v>Manufacturing</v>
      </c>
      <c r="C26" s="26" t="str">
        <f>INDEX(Company_Master!$A$2:$D$101,MATCH(Company_Master!D26,Company_Master!$D$2:$D$101,0),4)</f>
        <v>Australia</v>
      </c>
      <c r="D26" s="26" t="str">
        <f>_xlfn.XLOOKUP(Table1[[#This Row],[ESG Risk Tier (IFS) ]],Table1[ESG Risk Tier (IFS) ],Table1[ESG Risk Tier (IFS) ],"Not Found",0)</f>
        <v>Medium Risk</v>
      </c>
    </row>
    <row r="27" spans="1:4" x14ac:dyDescent="0.35">
      <c r="A27" s="27">
        <f>INDEX(Company_Master!$A$2:$D$101,MATCH(Company_Master!A27,Company_Master!$A$2:$A$101,0),1)</f>
        <v>26</v>
      </c>
      <c r="B27" s="27" t="str">
        <f>INDEX(Company_Master!$A$2:$D$101,MATCH(Company_Master!C27,Company_Master!$C$2:$C$101,0),3)</f>
        <v>Energy</v>
      </c>
      <c r="C27" s="27" t="str">
        <f>INDEX(Company_Master!$A$2:$D$101,MATCH(Company_Master!D27,Company_Master!$D$2:$D$101,0),4)</f>
        <v>Canada</v>
      </c>
      <c r="D27" s="27" t="str">
        <f>_xlfn.XLOOKUP(Table1[[#This Row],[ESG Risk Tier (IFS) ]],Table1[ESG Risk Tier (IFS) ],Table1[ESG Risk Tier (IFS) ],"Not Found",0)</f>
        <v>High Risk</v>
      </c>
    </row>
    <row r="28" spans="1:4" x14ac:dyDescent="0.35">
      <c r="A28" s="26">
        <f>INDEX(Company_Master!$A$2:$D$101,MATCH(Company_Master!A28,Company_Master!$A$2:$A$101,0),1)</f>
        <v>27</v>
      </c>
      <c r="B28" s="26" t="str">
        <f>INDEX(Company_Master!$A$2:$D$101,MATCH(Company_Master!C28,Company_Master!$C$2:$C$101,0),3)</f>
        <v>Finance</v>
      </c>
      <c r="C28" s="26" t="str">
        <f>INDEX(Company_Master!$A$2:$D$101,MATCH(Company_Master!D28,Company_Master!$D$2:$D$101,0),4)</f>
        <v>Canada</v>
      </c>
      <c r="D28" s="26" t="str">
        <f>_xlfn.XLOOKUP(Table1[[#This Row],[ESG Risk Tier (IFS) ]],Table1[ESG Risk Tier (IFS) ],Table1[ESG Risk Tier (IFS) ],"Not Found",0)</f>
        <v>Low Risk</v>
      </c>
    </row>
    <row r="29" spans="1:4" x14ac:dyDescent="0.35">
      <c r="A29" s="27">
        <f>INDEX(Company_Master!$A$2:$D$101,MATCH(Company_Master!A29,Company_Master!$A$2:$A$101,0),1)</f>
        <v>28</v>
      </c>
      <c r="B29" s="27" t="str">
        <f>INDEX(Company_Master!$A$2:$D$101,MATCH(Company_Master!C29,Company_Master!$C$2:$C$101,0),3)</f>
        <v>Technology</v>
      </c>
      <c r="C29" s="27" t="str">
        <f>INDEX(Company_Master!$A$2:$D$101,MATCH(Company_Master!D29,Company_Master!$D$2:$D$101,0),4)</f>
        <v>Canada</v>
      </c>
      <c r="D29" s="27" t="str">
        <f>_xlfn.XLOOKUP(Table1[[#This Row],[ESG Risk Tier (IFS) ]],Table1[ESG Risk Tier (IFS) ],Table1[ESG Risk Tier (IFS) ],"Not Found",0)</f>
        <v>Medium Risk</v>
      </c>
    </row>
    <row r="30" spans="1:4" x14ac:dyDescent="0.35">
      <c r="A30" s="26">
        <f>INDEX(Company_Master!$A$2:$D$101,MATCH(Company_Master!A30,Company_Master!$A$2:$A$101,0),1)</f>
        <v>29</v>
      </c>
      <c r="B30" s="26" t="str">
        <f>INDEX(Company_Master!$A$2:$D$101,MATCH(Company_Master!C30,Company_Master!$C$2:$C$101,0),3)</f>
        <v>Finance</v>
      </c>
      <c r="C30" s="26" t="str">
        <f>INDEX(Company_Master!$A$2:$D$101,MATCH(Company_Master!D30,Company_Master!$D$2:$D$101,0),4)</f>
        <v>Germany</v>
      </c>
      <c r="D30" s="26" t="str">
        <f>_xlfn.XLOOKUP(Table1[[#This Row],[ESG Risk Tier (IFS) ]],Table1[ESG Risk Tier (IFS) ],Table1[ESG Risk Tier (IFS) ],"Not Found",0)</f>
        <v>Low Risk</v>
      </c>
    </row>
    <row r="31" spans="1:4" x14ac:dyDescent="0.35">
      <c r="A31" s="27">
        <f>INDEX(Company_Master!$A$2:$D$101,MATCH(Company_Master!A31,Company_Master!$A$2:$A$101,0),1)</f>
        <v>30</v>
      </c>
      <c r="B31" s="27" t="str">
        <f>INDEX(Company_Master!$A$2:$D$101,MATCH(Company_Master!C31,Company_Master!$C$2:$C$101,0),3)</f>
        <v>Retail</v>
      </c>
      <c r="C31" s="27" t="str">
        <f>INDEX(Company_Master!$A$2:$D$101,MATCH(Company_Master!D31,Company_Master!$D$2:$D$101,0),4)</f>
        <v>Germany</v>
      </c>
      <c r="D31" s="27" t="str">
        <f>_xlfn.XLOOKUP(Table1[[#This Row],[ESG Risk Tier (IFS) ]],Table1[ESG Risk Tier (IFS) ],Table1[ESG Risk Tier (IFS) ],"Not Found",0)</f>
        <v>High Risk</v>
      </c>
    </row>
    <row r="32" spans="1:4" x14ac:dyDescent="0.35">
      <c r="A32" s="26">
        <f>INDEX(Company_Master!$A$2:$D$101,MATCH(Company_Master!A32,Company_Master!$A$2:$A$101,0),1)</f>
        <v>31</v>
      </c>
      <c r="B32" s="26" t="str">
        <f>INDEX(Company_Master!$A$2:$D$101,MATCH(Company_Master!C32,Company_Master!$C$2:$C$101,0),3)</f>
        <v>Energy</v>
      </c>
      <c r="C32" s="26" t="str">
        <f>INDEX(Company_Master!$A$2:$D$101,MATCH(Company_Master!D32,Company_Master!$D$2:$D$101,0),4)</f>
        <v>UK</v>
      </c>
      <c r="D32" s="26" t="str">
        <f>_xlfn.XLOOKUP(Table1[[#This Row],[ESG Risk Tier (IFS) ]],Table1[ESG Risk Tier (IFS) ],Table1[ESG Risk Tier (IFS) ],"Not Found",0)</f>
        <v>Medium Risk</v>
      </c>
    </row>
    <row r="33" spans="1:4" x14ac:dyDescent="0.35">
      <c r="A33" s="27">
        <f>INDEX(Company_Master!$A$2:$D$101,MATCH(Company_Master!A33,Company_Master!$A$2:$A$101,0),1)</f>
        <v>32</v>
      </c>
      <c r="B33" s="27" t="str">
        <f>INDEX(Company_Master!$A$2:$D$101,MATCH(Company_Master!C33,Company_Master!$C$2:$C$101,0),3)</f>
        <v>Manufacturing</v>
      </c>
      <c r="C33" s="27" t="str">
        <f>INDEX(Company_Master!$A$2:$D$101,MATCH(Company_Master!D33,Company_Master!$D$2:$D$101,0),4)</f>
        <v>Germany</v>
      </c>
      <c r="D33" s="27" t="str">
        <f>_xlfn.XLOOKUP(Table1[[#This Row],[ESG Risk Tier (IFS) ]],Table1[ESG Risk Tier (IFS) ],Table1[ESG Risk Tier (IFS) ],"Not Found",0)</f>
        <v>High Risk</v>
      </c>
    </row>
    <row r="34" spans="1:4" x14ac:dyDescent="0.35">
      <c r="A34" s="26">
        <f>INDEX(Company_Master!$A$2:$D$101,MATCH(Company_Master!A34,Company_Master!$A$2:$A$101,0),1)</f>
        <v>33</v>
      </c>
      <c r="B34" s="26" t="str">
        <f>INDEX(Company_Master!$A$2:$D$101,MATCH(Company_Master!C34,Company_Master!$C$2:$C$101,0),3)</f>
        <v>Manufacturing</v>
      </c>
      <c r="C34" s="26" t="str">
        <f>INDEX(Company_Master!$A$2:$D$101,MATCH(Company_Master!D34,Company_Master!$D$2:$D$101,0),4)</f>
        <v>Australia</v>
      </c>
      <c r="D34" s="26" t="str">
        <f>_xlfn.XLOOKUP(Table1[[#This Row],[ESG Risk Tier (IFS) ]],Table1[ESG Risk Tier (IFS) ],Table1[ESG Risk Tier (IFS) ],"Not Found",0)</f>
        <v>Low Risk</v>
      </c>
    </row>
    <row r="35" spans="1:4" x14ac:dyDescent="0.35">
      <c r="A35" s="27">
        <f>INDEX(Company_Master!$A$2:$D$101,MATCH(Company_Master!A35,Company_Master!$A$2:$A$101,0),1)</f>
        <v>34</v>
      </c>
      <c r="B35" s="27" t="str">
        <f>INDEX(Company_Master!$A$2:$D$101,MATCH(Company_Master!C35,Company_Master!$C$2:$C$101,0),3)</f>
        <v>Energy</v>
      </c>
      <c r="C35" s="27" t="str">
        <f>INDEX(Company_Master!$A$2:$D$101,MATCH(Company_Master!D35,Company_Master!$D$2:$D$101,0),4)</f>
        <v>USA</v>
      </c>
      <c r="D35" s="27" t="str">
        <f>_xlfn.XLOOKUP(Table1[[#This Row],[ESG Risk Tier (IFS) ]],Table1[ESG Risk Tier (IFS) ],Table1[ESG Risk Tier (IFS) ],"Not Found",0)</f>
        <v>Medium Risk</v>
      </c>
    </row>
    <row r="36" spans="1:4" x14ac:dyDescent="0.35">
      <c r="A36" s="26">
        <f>INDEX(Company_Master!$A$2:$D$101,MATCH(Company_Master!A36,Company_Master!$A$2:$A$101,0),1)</f>
        <v>35</v>
      </c>
      <c r="B36" s="26" t="str">
        <f>INDEX(Company_Master!$A$2:$D$101,MATCH(Company_Master!C36,Company_Master!$C$2:$C$101,0),3)</f>
        <v>Manufacturing</v>
      </c>
      <c r="C36" s="26" t="str">
        <f>INDEX(Company_Master!$A$2:$D$101,MATCH(Company_Master!D36,Company_Master!$D$2:$D$101,0),4)</f>
        <v>UK</v>
      </c>
      <c r="D36" s="26" t="str">
        <f>_xlfn.XLOOKUP(Table1[[#This Row],[ESG Risk Tier (IFS) ]],Table1[ESG Risk Tier (IFS) ],Table1[ESG Risk Tier (IFS) ],"Not Found",0)</f>
        <v>Low Risk</v>
      </c>
    </row>
    <row r="37" spans="1:4" x14ac:dyDescent="0.35">
      <c r="A37" s="27">
        <f>INDEX(Company_Master!$A$2:$D$101,MATCH(Company_Master!A37,Company_Master!$A$2:$A$101,0),1)</f>
        <v>36</v>
      </c>
      <c r="B37" s="27" t="str">
        <f>INDEX(Company_Master!$A$2:$D$101,MATCH(Company_Master!C37,Company_Master!$C$2:$C$101,0),3)</f>
        <v>Healthcare</v>
      </c>
      <c r="C37" s="27" t="str">
        <f>INDEX(Company_Master!$A$2:$D$101,MATCH(Company_Master!D37,Company_Master!$D$2:$D$101,0),4)</f>
        <v>USA</v>
      </c>
      <c r="D37" s="27" t="str">
        <f>_xlfn.XLOOKUP(Table1[[#This Row],[ESG Risk Tier (IFS) ]],Table1[ESG Risk Tier (IFS) ],Table1[ESG Risk Tier (IFS) ],"Not Found",0)</f>
        <v>Low Risk</v>
      </c>
    </row>
    <row r="38" spans="1:4" x14ac:dyDescent="0.35">
      <c r="A38" s="26">
        <f>INDEX(Company_Master!$A$2:$D$101,MATCH(Company_Master!A38,Company_Master!$A$2:$A$101,0),1)</f>
        <v>37</v>
      </c>
      <c r="B38" s="26" t="str">
        <f>INDEX(Company_Master!$A$2:$D$101,MATCH(Company_Master!C38,Company_Master!$C$2:$C$101,0),3)</f>
        <v>Healthcare</v>
      </c>
      <c r="C38" s="26" t="str">
        <f>INDEX(Company_Master!$A$2:$D$101,MATCH(Company_Master!D38,Company_Master!$D$2:$D$101,0),4)</f>
        <v>Canada</v>
      </c>
      <c r="D38" s="26" t="str">
        <f>_xlfn.XLOOKUP(Table1[[#This Row],[ESG Risk Tier (IFS) ]],Table1[ESG Risk Tier (IFS) ],Table1[ESG Risk Tier (IFS) ],"Not Found",0)</f>
        <v>Low Risk</v>
      </c>
    </row>
    <row r="39" spans="1:4" x14ac:dyDescent="0.35">
      <c r="A39" s="27">
        <f>INDEX(Company_Master!$A$2:$D$101,MATCH(Company_Master!A39,Company_Master!$A$2:$A$101,0),1)</f>
        <v>38</v>
      </c>
      <c r="B39" s="27" t="str">
        <f>INDEX(Company_Master!$A$2:$D$101,MATCH(Company_Master!C39,Company_Master!$C$2:$C$101,0),3)</f>
        <v>Retail</v>
      </c>
      <c r="C39" s="27" t="str">
        <f>INDEX(Company_Master!$A$2:$D$101,MATCH(Company_Master!D39,Company_Master!$D$2:$D$101,0),4)</f>
        <v>USA</v>
      </c>
      <c r="D39" s="27" t="str">
        <f>_xlfn.XLOOKUP(Table1[[#This Row],[ESG Risk Tier (IFS) ]],Table1[ESG Risk Tier (IFS) ],Table1[ESG Risk Tier (IFS) ],"Not Found",0)</f>
        <v>Medium Risk</v>
      </c>
    </row>
    <row r="40" spans="1:4" x14ac:dyDescent="0.35">
      <c r="A40" s="26">
        <f>INDEX(Company_Master!$A$2:$D$101,MATCH(Company_Master!A40,Company_Master!$A$2:$A$101,0),1)</f>
        <v>39</v>
      </c>
      <c r="B40" s="26" t="str">
        <f>INDEX(Company_Master!$A$2:$D$101,MATCH(Company_Master!C40,Company_Master!$C$2:$C$101,0),3)</f>
        <v>Healthcare</v>
      </c>
      <c r="C40" s="26" t="str">
        <f>INDEX(Company_Master!$A$2:$D$101,MATCH(Company_Master!D40,Company_Master!$D$2:$D$101,0),4)</f>
        <v>UK</v>
      </c>
      <c r="D40" s="26" t="str">
        <f>_xlfn.XLOOKUP(Table1[[#This Row],[ESG Risk Tier (IFS) ]],Table1[ESG Risk Tier (IFS) ],Table1[ESG Risk Tier (IFS) ],"Not Found",0)</f>
        <v>High Risk</v>
      </c>
    </row>
    <row r="41" spans="1:4" x14ac:dyDescent="0.35">
      <c r="A41" s="27">
        <f>INDEX(Company_Master!$A$2:$D$101,MATCH(Company_Master!A41,Company_Master!$A$2:$A$101,0),1)</f>
        <v>40</v>
      </c>
      <c r="B41" s="27" t="str">
        <f>INDEX(Company_Master!$A$2:$D$101,MATCH(Company_Master!C41,Company_Master!$C$2:$C$101,0),3)</f>
        <v>Manufacturing</v>
      </c>
      <c r="C41" s="27" t="str">
        <f>INDEX(Company_Master!$A$2:$D$101,MATCH(Company_Master!D41,Company_Master!$D$2:$D$101,0),4)</f>
        <v>UK</v>
      </c>
      <c r="D41" s="27" t="str">
        <f>_xlfn.XLOOKUP(Table1[[#This Row],[ESG Risk Tier (IFS) ]],Table1[ESG Risk Tier (IFS) ],Table1[ESG Risk Tier (IFS) ],"Not Found",0)</f>
        <v>High Risk</v>
      </c>
    </row>
    <row r="42" spans="1:4" x14ac:dyDescent="0.35">
      <c r="A42" s="26">
        <f>INDEX(Company_Master!$A$2:$D$101,MATCH(Company_Master!A42,Company_Master!$A$2:$A$101,0),1)</f>
        <v>41</v>
      </c>
      <c r="B42" s="26" t="str">
        <f>INDEX(Company_Master!$A$2:$D$101,MATCH(Company_Master!C42,Company_Master!$C$2:$C$101,0),3)</f>
        <v>Retail</v>
      </c>
      <c r="C42" s="26" t="str">
        <f>INDEX(Company_Master!$A$2:$D$101,MATCH(Company_Master!D42,Company_Master!$D$2:$D$101,0),4)</f>
        <v>USA</v>
      </c>
      <c r="D42" s="26" t="str">
        <f>_xlfn.XLOOKUP(Table1[[#This Row],[ESG Risk Tier (IFS) ]],Table1[ESG Risk Tier (IFS) ],Table1[ESG Risk Tier (IFS) ],"Not Found",0)</f>
        <v>High Risk</v>
      </c>
    </row>
    <row r="43" spans="1:4" x14ac:dyDescent="0.35">
      <c r="A43" s="27">
        <f>INDEX(Company_Master!$A$2:$D$101,MATCH(Company_Master!A43,Company_Master!$A$2:$A$101,0),1)</f>
        <v>42</v>
      </c>
      <c r="B43" s="27" t="str">
        <f>INDEX(Company_Master!$A$2:$D$101,MATCH(Company_Master!C43,Company_Master!$C$2:$C$101,0),3)</f>
        <v>Retail</v>
      </c>
      <c r="C43" s="27" t="str">
        <f>INDEX(Company_Master!$A$2:$D$101,MATCH(Company_Master!D43,Company_Master!$D$2:$D$101,0),4)</f>
        <v>USA</v>
      </c>
      <c r="D43" s="27" t="str">
        <f>_xlfn.XLOOKUP(Table1[[#This Row],[ESG Risk Tier (IFS) ]],Table1[ESG Risk Tier (IFS) ],Table1[ESG Risk Tier (IFS) ],"Not Found",0)</f>
        <v>Medium Risk</v>
      </c>
    </row>
    <row r="44" spans="1:4" x14ac:dyDescent="0.35">
      <c r="A44" s="26">
        <f>INDEX(Company_Master!$A$2:$D$101,MATCH(Company_Master!A44,Company_Master!$A$2:$A$101,0),1)</f>
        <v>43</v>
      </c>
      <c r="B44" s="26" t="str">
        <f>INDEX(Company_Master!$A$2:$D$101,MATCH(Company_Master!C44,Company_Master!$C$2:$C$101,0),3)</f>
        <v>Finance</v>
      </c>
      <c r="C44" s="26" t="str">
        <f>INDEX(Company_Master!$A$2:$D$101,MATCH(Company_Master!D44,Company_Master!$D$2:$D$101,0),4)</f>
        <v>Canada</v>
      </c>
      <c r="D44" s="26" t="str">
        <f>_xlfn.XLOOKUP(Table1[[#This Row],[ESG Risk Tier (IFS) ]],Table1[ESG Risk Tier (IFS) ],Table1[ESG Risk Tier (IFS) ],"Not Found",0)</f>
        <v>Low Risk</v>
      </c>
    </row>
    <row r="45" spans="1:4" x14ac:dyDescent="0.35">
      <c r="A45" s="27">
        <f>INDEX(Company_Master!$A$2:$D$101,MATCH(Company_Master!A45,Company_Master!$A$2:$A$101,0),1)</f>
        <v>44</v>
      </c>
      <c r="B45" s="27" t="str">
        <f>INDEX(Company_Master!$A$2:$D$101,MATCH(Company_Master!C45,Company_Master!$C$2:$C$101,0),3)</f>
        <v>Manufacturing</v>
      </c>
      <c r="C45" s="27" t="str">
        <f>INDEX(Company_Master!$A$2:$D$101,MATCH(Company_Master!D45,Company_Master!$D$2:$D$101,0),4)</f>
        <v>Japan</v>
      </c>
      <c r="D45" s="27" t="str">
        <f>_xlfn.XLOOKUP(Table1[[#This Row],[ESG Risk Tier (IFS) ]],Table1[ESG Risk Tier (IFS) ],Table1[ESG Risk Tier (IFS) ],"Not Found",0)</f>
        <v>Medium Risk</v>
      </c>
    </row>
    <row r="46" spans="1:4" x14ac:dyDescent="0.35">
      <c r="A46" s="26">
        <f>INDEX(Company_Master!$A$2:$D$101,MATCH(Company_Master!A46,Company_Master!$A$2:$A$101,0),1)</f>
        <v>45</v>
      </c>
      <c r="B46" s="26" t="str">
        <f>INDEX(Company_Master!$A$2:$D$101,MATCH(Company_Master!C46,Company_Master!$C$2:$C$101,0),3)</f>
        <v>Finance</v>
      </c>
      <c r="C46" s="26" t="str">
        <f>INDEX(Company_Master!$A$2:$D$101,MATCH(Company_Master!D46,Company_Master!$D$2:$D$101,0),4)</f>
        <v>Germany</v>
      </c>
      <c r="D46" s="26" t="str">
        <f>_xlfn.XLOOKUP(Table1[[#This Row],[ESG Risk Tier (IFS) ]],Table1[ESG Risk Tier (IFS) ],Table1[ESG Risk Tier (IFS) ],"Not Found",0)</f>
        <v>Medium Risk</v>
      </c>
    </row>
    <row r="47" spans="1:4" x14ac:dyDescent="0.35">
      <c r="A47" s="27">
        <f>INDEX(Company_Master!$A$2:$D$101,MATCH(Company_Master!A47,Company_Master!$A$2:$A$101,0),1)</f>
        <v>46</v>
      </c>
      <c r="B47" s="27" t="str">
        <f>INDEX(Company_Master!$A$2:$D$101,MATCH(Company_Master!C47,Company_Master!$C$2:$C$101,0),3)</f>
        <v>Finance</v>
      </c>
      <c r="C47" s="27" t="str">
        <f>INDEX(Company_Master!$A$2:$D$101,MATCH(Company_Master!D47,Company_Master!$D$2:$D$101,0),4)</f>
        <v>Canada</v>
      </c>
      <c r="D47" s="27" t="str">
        <f>_xlfn.XLOOKUP(Table1[[#This Row],[ESG Risk Tier (IFS) ]],Table1[ESG Risk Tier (IFS) ],Table1[ESG Risk Tier (IFS) ],"Not Found",0)</f>
        <v>Medium Risk</v>
      </c>
    </row>
    <row r="48" spans="1:4" x14ac:dyDescent="0.35">
      <c r="A48" s="26">
        <f>INDEX(Company_Master!$A$2:$D$101,MATCH(Company_Master!A48,Company_Master!$A$2:$A$101,0),1)</f>
        <v>47</v>
      </c>
      <c r="B48" s="26" t="str">
        <f>INDEX(Company_Master!$A$2:$D$101,MATCH(Company_Master!C48,Company_Master!$C$2:$C$101,0),3)</f>
        <v>Healthcare</v>
      </c>
      <c r="C48" s="26" t="str">
        <f>INDEX(Company_Master!$A$2:$D$101,MATCH(Company_Master!D48,Company_Master!$D$2:$D$101,0),4)</f>
        <v>Japan</v>
      </c>
      <c r="D48" s="26" t="str">
        <f>_xlfn.XLOOKUP(Table1[[#This Row],[ESG Risk Tier (IFS) ]],Table1[ESG Risk Tier (IFS) ],Table1[ESG Risk Tier (IFS) ],"Not Found",0)</f>
        <v>Low Risk</v>
      </c>
    </row>
    <row r="49" spans="1:4" x14ac:dyDescent="0.35">
      <c r="A49" s="27">
        <f>INDEX(Company_Master!$A$2:$D$101,MATCH(Company_Master!A49,Company_Master!$A$2:$A$101,0),1)</f>
        <v>48</v>
      </c>
      <c r="B49" s="27" t="str">
        <f>INDEX(Company_Master!$A$2:$D$101,MATCH(Company_Master!C49,Company_Master!$C$2:$C$101,0),3)</f>
        <v>Healthcare</v>
      </c>
      <c r="C49" s="27" t="str">
        <f>INDEX(Company_Master!$A$2:$D$101,MATCH(Company_Master!D49,Company_Master!$D$2:$D$101,0),4)</f>
        <v>Australia</v>
      </c>
      <c r="D49" s="27" t="str">
        <f>_xlfn.XLOOKUP(Table1[[#This Row],[ESG Risk Tier (IFS) ]],Table1[ESG Risk Tier (IFS) ],Table1[ESG Risk Tier (IFS) ],"Not Found",0)</f>
        <v>High Risk</v>
      </c>
    </row>
    <row r="50" spans="1:4" x14ac:dyDescent="0.35">
      <c r="A50" s="26">
        <f>INDEX(Company_Master!$A$2:$D$101,MATCH(Company_Master!A50,Company_Master!$A$2:$A$101,0),1)</f>
        <v>49</v>
      </c>
      <c r="B50" s="26" t="str">
        <f>INDEX(Company_Master!$A$2:$D$101,MATCH(Company_Master!C50,Company_Master!$C$2:$C$101,0),3)</f>
        <v>Finance</v>
      </c>
      <c r="C50" s="26" t="str">
        <f>INDEX(Company_Master!$A$2:$D$101,MATCH(Company_Master!D50,Company_Master!$D$2:$D$101,0),4)</f>
        <v>USA</v>
      </c>
      <c r="D50" s="26" t="str">
        <f>_xlfn.XLOOKUP(Table1[[#This Row],[ESG Risk Tier (IFS) ]],Table1[ESG Risk Tier (IFS) ],Table1[ESG Risk Tier (IFS) ],"Not Found",0)</f>
        <v>Medium Risk</v>
      </c>
    </row>
    <row r="51" spans="1:4" x14ac:dyDescent="0.35">
      <c r="A51" s="27">
        <f>INDEX(Company_Master!$A$2:$D$101,MATCH(Company_Master!A51,Company_Master!$A$2:$A$101,0),1)</f>
        <v>50</v>
      </c>
      <c r="B51" s="27" t="str">
        <f>INDEX(Company_Master!$A$2:$D$101,MATCH(Company_Master!C51,Company_Master!$C$2:$C$101,0),3)</f>
        <v>Energy</v>
      </c>
      <c r="C51" s="27" t="str">
        <f>INDEX(Company_Master!$A$2:$D$101,MATCH(Company_Master!D51,Company_Master!$D$2:$D$101,0),4)</f>
        <v>Japan</v>
      </c>
      <c r="D51" s="27" t="str">
        <f>_xlfn.XLOOKUP(Table1[[#This Row],[ESG Risk Tier (IFS) ]],Table1[ESG Risk Tier (IFS) ],Table1[ESG Risk Tier (IFS) ],"Not Found",0)</f>
        <v>High Risk</v>
      </c>
    </row>
    <row r="52" spans="1:4" x14ac:dyDescent="0.35">
      <c r="A52" s="26">
        <f>INDEX(Company_Master!$A$2:$D$101,MATCH(Company_Master!A52,Company_Master!$A$2:$A$101,0),1)</f>
        <v>51</v>
      </c>
      <c r="B52" s="26" t="str">
        <f>INDEX(Company_Master!$A$2:$D$101,MATCH(Company_Master!C52,Company_Master!$C$2:$C$101,0),3)</f>
        <v>Healthcare</v>
      </c>
      <c r="C52" s="26" t="str">
        <f>INDEX(Company_Master!$A$2:$D$101,MATCH(Company_Master!D52,Company_Master!$D$2:$D$101,0),4)</f>
        <v>Canada</v>
      </c>
      <c r="D52" s="26" t="str">
        <f>_xlfn.XLOOKUP(Table1[[#This Row],[ESG Risk Tier (IFS) ]],Table1[ESG Risk Tier (IFS) ],Table1[ESG Risk Tier (IFS) ],"Not Found",0)</f>
        <v>Medium Risk</v>
      </c>
    </row>
    <row r="53" spans="1:4" x14ac:dyDescent="0.35">
      <c r="A53" s="27">
        <f>INDEX(Company_Master!$A$2:$D$101,MATCH(Company_Master!A53,Company_Master!$A$2:$A$101,0),1)</f>
        <v>52</v>
      </c>
      <c r="B53" s="27" t="str">
        <f>INDEX(Company_Master!$A$2:$D$101,MATCH(Company_Master!C53,Company_Master!$C$2:$C$101,0),3)</f>
        <v>Manufacturing</v>
      </c>
      <c r="C53" s="27" t="str">
        <f>INDEX(Company_Master!$A$2:$D$101,MATCH(Company_Master!D53,Company_Master!$D$2:$D$101,0),4)</f>
        <v>Canada</v>
      </c>
      <c r="D53" s="27" t="str">
        <f>_xlfn.XLOOKUP(Table1[[#This Row],[ESG Risk Tier (IFS) ]],Table1[ESG Risk Tier (IFS) ],Table1[ESG Risk Tier (IFS) ],"Not Found",0)</f>
        <v>Low Risk</v>
      </c>
    </row>
    <row r="54" spans="1:4" x14ac:dyDescent="0.35">
      <c r="A54" s="26">
        <f>INDEX(Company_Master!$A$2:$D$101,MATCH(Company_Master!A54,Company_Master!$A$2:$A$101,0),1)</f>
        <v>53</v>
      </c>
      <c r="B54" s="26" t="str">
        <f>INDEX(Company_Master!$A$2:$D$101,MATCH(Company_Master!C54,Company_Master!$C$2:$C$101,0),3)</f>
        <v>Technology</v>
      </c>
      <c r="C54" s="26" t="str">
        <f>INDEX(Company_Master!$A$2:$D$101,MATCH(Company_Master!D54,Company_Master!$D$2:$D$101,0),4)</f>
        <v>UK</v>
      </c>
      <c r="D54" s="26" t="str">
        <f>_xlfn.XLOOKUP(Table1[[#This Row],[ESG Risk Tier (IFS) ]],Table1[ESG Risk Tier (IFS) ],Table1[ESG Risk Tier (IFS) ],"Not Found",0)</f>
        <v>High Risk</v>
      </c>
    </row>
    <row r="55" spans="1:4" x14ac:dyDescent="0.35">
      <c r="A55" s="27">
        <f>INDEX(Company_Master!$A$2:$D$101,MATCH(Company_Master!A55,Company_Master!$A$2:$A$101,0),1)</f>
        <v>54</v>
      </c>
      <c r="B55" s="27" t="str">
        <f>INDEX(Company_Master!$A$2:$D$101,MATCH(Company_Master!C55,Company_Master!$C$2:$C$101,0),3)</f>
        <v>Healthcare</v>
      </c>
      <c r="C55" s="27" t="str">
        <f>INDEX(Company_Master!$A$2:$D$101,MATCH(Company_Master!D55,Company_Master!$D$2:$D$101,0),4)</f>
        <v>USA</v>
      </c>
      <c r="D55" s="27" t="str">
        <f>_xlfn.XLOOKUP(Table1[[#This Row],[ESG Risk Tier (IFS) ]],Table1[ESG Risk Tier (IFS) ],Table1[ESG Risk Tier (IFS) ],"Not Found",0)</f>
        <v>Low Risk</v>
      </c>
    </row>
    <row r="56" spans="1:4" x14ac:dyDescent="0.35">
      <c r="A56" s="26">
        <f>INDEX(Company_Master!$A$2:$D$101,MATCH(Company_Master!A56,Company_Master!$A$2:$A$101,0),1)</f>
        <v>55</v>
      </c>
      <c r="B56" s="26" t="str">
        <f>INDEX(Company_Master!$A$2:$D$101,MATCH(Company_Master!C56,Company_Master!$C$2:$C$101,0),3)</f>
        <v>Technology</v>
      </c>
      <c r="C56" s="26" t="str">
        <f>INDEX(Company_Master!$A$2:$D$101,MATCH(Company_Master!D56,Company_Master!$D$2:$D$101,0),4)</f>
        <v>Japan</v>
      </c>
      <c r="D56" s="26" t="str">
        <f>_xlfn.XLOOKUP(Table1[[#This Row],[ESG Risk Tier (IFS) ]],Table1[ESG Risk Tier (IFS) ],Table1[ESG Risk Tier (IFS) ],"Not Found",0)</f>
        <v>Low Risk</v>
      </c>
    </row>
    <row r="57" spans="1:4" x14ac:dyDescent="0.35">
      <c r="A57" s="27">
        <f>INDEX(Company_Master!$A$2:$D$101,MATCH(Company_Master!A57,Company_Master!$A$2:$A$101,0),1)</f>
        <v>56</v>
      </c>
      <c r="B57" s="27" t="str">
        <f>INDEX(Company_Master!$A$2:$D$101,MATCH(Company_Master!C57,Company_Master!$C$2:$C$101,0),3)</f>
        <v>Manufacturing</v>
      </c>
      <c r="C57" s="27" t="str">
        <f>INDEX(Company_Master!$A$2:$D$101,MATCH(Company_Master!D57,Company_Master!$D$2:$D$101,0),4)</f>
        <v>USA</v>
      </c>
      <c r="D57" s="27" t="str">
        <f>_xlfn.XLOOKUP(Table1[[#This Row],[ESG Risk Tier (IFS) ]],Table1[ESG Risk Tier (IFS) ],Table1[ESG Risk Tier (IFS) ],"Not Found",0)</f>
        <v>High Risk</v>
      </c>
    </row>
    <row r="58" spans="1:4" x14ac:dyDescent="0.35">
      <c r="A58" s="26">
        <f>INDEX(Company_Master!$A$2:$D$101,MATCH(Company_Master!A58,Company_Master!$A$2:$A$101,0),1)</f>
        <v>57</v>
      </c>
      <c r="B58" s="26" t="str">
        <f>INDEX(Company_Master!$A$2:$D$101,MATCH(Company_Master!C58,Company_Master!$C$2:$C$101,0),3)</f>
        <v>Healthcare</v>
      </c>
      <c r="C58" s="26" t="str">
        <f>INDEX(Company_Master!$A$2:$D$101,MATCH(Company_Master!D58,Company_Master!$D$2:$D$101,0),4)</f>
        <v>UK</v>
      </c>
      <c r="D58" s="26" t="str">
        <f>_xlfn.XLOOKUP(Table1[[#This Row],[ESG Risk Tier (IFS) ]],Table1[ESG Risk Tier (IFS) ],Table1[ESG Risk Tier (IFS) ],"Not Found",0)</f>
        <v>Low Risk</v>
      </c>
    </row>
    <row r="59" spans="1:4" x14ac:dyDescent="0.35">
      <c r="A59" s="27">
        <f>INDEX(Company_Master!$A$2:$D$101,MATCH(Company_Master!A59,Company_Master!$A$2:$A$101,0),1)</f>
        <v>58</v>
      </c>
      <c r="B59" s="27" t="str">
        <f>INDEX(Company_Master!$A$2:$D$101,MATCH(Company_Master!C59,Company_Master!$C$2:$C$101,0),3)</f>
        <v>Finance</v>
      </c>
      <c r="C59" s="27" t="str">
        <f>INDEX(Company_Master!$A$2:$D$101,MATCH(Company_Master!D59,Company_Master!$D$2:$D$101,0),4)</f>
        <v>Japan</v>
      </c>
      <c r="D59" s="27" t="str">
        <f>_xlfn.XLOOKUP(Table1[[#This Row],[ESG Risk Tier (IFS) ]],Table1[ESG Risk Tier (IFS) ],Table1[ESG Risk Tier (IFS) ],"Not Found",0)</f>
        <v>Medium Risk</v>
      </c>
    </row>
    <row r="60" spans="1:4" x14ac:dyDescent="0.35">
      <c r="A60" s="26">
        <f>INDEX(Company_Master!$A$2:$D$101,MATCH(Company_Master!A60,Company_Master!$A$2:$A$101,0),1)</f>
        <v>59</v>
      </c>
      <c r="B60" s="26" t="str">
        <f>INDEX(Company_Master!$A$2:$D$101,MATCH(Company_Master!C60,Company_Master!$C$2:$C$101,0),3)</f>
        <v>Retail</v>
      </c>
      <c r="C60" s="26" t="str">
        <f>INDEX(Company_Master!$A$2:$D$101,MATCH(Company_Master!D60,Company_Master!$D$2:$D$101,0),4)</f>
        <v>USA</v>
      </c>
      <c r="D60" s="26" t="str">
        <f>_xlfn.XLOOKUP(Table1[[#This Row],[ESG Risk Tier (IFS) ]],Table1[ESG Risk Tier (IFS) ],Table1[ESG Risk Tier (IFS) ],"Not Found",0)</f>
        <v>Low Risk</v>
      </c>
    </row>
    <row r="61" spans="1:4" x14ac:dyDescent="0.35">
      <c r="A61" s="27">
        <f>INDEX(Company_Master!$A$2:$D$101,MATCH(Company_Master!A61,Company_Master!$A$2:$A$101,0),1)</f>
        <v>60</v>
      </c>
      <c r="B61" s="27" t="str">
        <f>INDEX(Company_Master!$A$2:$D$101,MATCH(Company_Master!C61,Company_Master!$C$2:$C$101,0),3)</f>
        <v>Manufacturing</v>
      </c>
      <c r="C61" s="27" t="str">
        <f>INDEX(Company_Master!$A$2:$D$101,MATCH(Company_Master!D61,Company_Master!$D$2:$D$101,0),4)</f>
        <v>USA</v>
      </c>
      <c r="D61" s="27" t="str">
        <f>_xlfn.XLOOKUP(Table1[[#This Row],[ESG Risk Tier (IFS) ]],Table1[ESG Risk Tier (IFS) ],Table1[ESG Risk Tier (IFS) ],"Not Found",0)</f>
        <v>Medium Risk</v>
      </c>
    </row>
    <row r="62" spans="1:4" x14ac:dyDescent="0.35">
      <c r="A62" s="26">
        <f>INDEX(Company_Master!$A$2:$D$101,MATCH(Company_Master!A62,Company_Master!$A$2:$A$101,0),1)</f>
        <v>61</v>
      </c>
      <c r="B62" s="26" t="str">
        <f>INDEX(Company_Master!$A$2:$D$101,MATCH(Company_Master!C62,Company_Master!$C$2:$C$101,0),3)</f>
        <v>Manufacturing</v>
      </c>
      <c r="C62" s="26" t="str">
        <f>INDEX(Company_Master!$A$2:$D$101,MATCH(Company_Master!D62,Company_Master!$D$2:$D$101,0),4)</f>
        <v>Canada</v>
      </c>
      <c r="D62" s="26" t="str">
        <f>_xlfn.XLOOKUP(Table1[[#This Row],[ESG Risk Tier (IFS) ]],Table1[ESG Risk Tier (IFS) ],Table1[ESG Risk Tier (IFS) ],"Not Found",0)</f>
        <v>Medium Risk</v>
      </c>
    </row>
    <row r="63" spans="1:4" x14ac:dyDescent="0.35">
      <c r="A63" s="27">
        <f>INDEX(Company_Master!$A$2:$D$101,MATCH(Company_Master!A63,Company_Master!$A$2:$A$101,0),1)</f>
        <v>62</v>
      </c>
      <c r="B63" s="27" t="str">
        <f>INDEX(Company_Master!$A$2:$D$101,MATCH(Company_Master!C63,Company_Master!$C$2:$C$101,0),3)</f>
        <v>Technology</v>
      </c>
      <c r="C63" s="27" t="str">
        <f>INDEX(Company_Master!$A$2:$D$101,MATCH(Company_Master!D63,Company_Master!$D$2:$D$101,0),4)</f>
        <v>USA</v>
      </c>
      <c r="D63" s="27" t="str">
        <f>_xlfn.XLOOKUP(Table1[[#This Row],[ESG Risk Tier (IFS) ]],Table1[ESG Risk Tier (IFS) ],Table1[ESG Risk Tier (IFS) ],"Not Found",0)</f>
        <v>High Risk</v>
      </c>
    </row>
    <row r="64" spans="1:4" x14ac:dyDescent="0.35">
      <c r="A64" s="26">
        <f>INDEX(Company_Master!$A$2:$D$101,MATCH(Company_Master!A64,Company_Master!$A$2:$A$101,0),1)</f>
        <v>63</v>
      </c>
      <c r="B64" s="26" t="str">
        <f>INDEX(Company_Master!$A$2:$D$101,MATCH(Company_Master!C64,Company_Master!$C$2:$C$101,0),3)</f>
        <v>Technology</v>
      </c>
      <c r="C64" s="26" t="str">
        <f>INDEX(Company_Master!$A$2:$D$101,MATCH(Company_Master!D64,Company_Master!$D$2:$D$101,0),4)</f>
        <v>Japan</v>
      </c>
      <c r="D64" s="26" t="str">
        <f>_xlfn.XLOOKUP(Table1[[#This Row],[ESG Risk Tier (IFS) ]],Table1[ESG Risk Tier (IFS) ],Table1[ESG Risk Tier (IFS) ],"Not Found",0)</f>
        <v>High Risk</v>
      </c>
    </row>
    <row r="65" spans="1:4" x14ac:dyDescent="0.35">
      <c r="A65" s="27">
        <f>INDEX(Company_Master!$A$2:$D$101,MATCH(Company_Master!A65,Company_Master!$A$2:$A$101,0),1)</f>
        <v>64</v>
      </c>
      <c r="B65" s="27" t="str">
        <f>INDEX(Company_Master!$A$2:$D$101,MATCH(Company_Master!C65,Company_Master!$C$2:$C$101,0),3)</f>
        <v>Technology</v>
      </c>
      <c r="C65" s="27" t="str">
        <f>INDEX(Company_Master!$A$2:$D$101,MATCH(Company_Master!D65,Company_Master!$D$2:$D$101,0),4)</f>
        <v>Germany</v>
      </c>
      <c r="D65" s="27" t="str">
        <f>_xlfn.XLOOKUP(Table1[[#This Row],[ESG Risk Tier (IFS) ]],Table1[ESG Risk Tier (IFS) ],Table1[ESG Risk Tier (IFS) ],"Not Found",0)</f>
        <v>High Risk</v>
      </c>
    </row>
    <row r="66" spans="1:4" x14ac:dyDescent="0.35">
      <c r="A66" s="26">
        <f>INDEX(Company_Master!$A$2:$D$101,MATCH(Company_Master!A66,Company_Master!$A$2:$A$101,0),1)</f>
        <v>65</v>
      </c>
      <c r="B66" s="26" t="str">
        <f>INDEX(Company_Master!$A$2:$D$101,MATCH(Company_Master!C66,Company_Master!$C$2:$C$101,0),3)</f>
        <v>Manufacturing</v>
      </c>
      <c r="C66" s="26" t="str">
        <f>INDEX(Company_Master!$A$2:$D$101,MATCH(Company_Master!D66,Company_Master!$D$2:$D$101,0),4)</f>
        <v>Germany</v>
      </c>
      <c r="D66" s="26" t="str">
        <f>_xlfn.XLOOKUP(Table1[[#This Row],[ESG Risk Tier (IFS) ]],Table1[ESG Risk Tier (IFS) ],Table1[ESG Risk Tier (IFS) ],"Not Found",0)</f>
        <v>Low Risk</v>
      </c>
    </row>
    <row r="67" spans="1:4" x14ac:dyDescent="0.35">
      <c r="A67" s="27">
        <f>INDEX(Company_Master!$A$2:$D$101,MATCH(Company_Master!A67,Company_Master!$A$2:$A$101,0),1)</f>
        <v>66</v>
      </c>
      <c r="B67" s="27" t="str">
        <f>INDEX(Company_Master!$A$2:$D$101,MATCH(Company_Master!C67,Company_Master!$C$2:$C$101,0),3)</f>
        <v>Technology</v>
      </c>
      <c r="C67" s="27" t="str">
        <f>INDEX(Company_Master!$A$2:$D$101,MATCH(Company_Master!D67,Company_Master!$D$2:$D$101,0),4)</f>
        <v>Canada</v>
      </c>
      <c r="D67" s="27" t="str">
        <f>_xlfn.XLOOKUP(Table1[[#This Row],[ESG Risk Tier (IFS) ]],Table1[ESG Risk Tier (IFS) ],Table1[ESG Risk Tier (IFS) ],"Not Found",0)</f>
        <v>Low Risk</v>
      </c>
    </row>
    <row r="68" spans="1:4" x14ac:dyDescent="0.35">
      <c r="A68" s="26">
        <f>INDEX(Company_Master!$A$2:$D$101,MATCH(Company_Master!A68,Company_Master!$A$2:$A$101,0),1)</f>
        <v>67</v>
      </c>
      <c r="B68" s="26" t="str">
        <f>INDEX(Company_Master!$A$2:$D$101,MATCH(Company_Master!C68,Company_Master!$C$2:$C$101,0),3)</f>
        <v>Energy</v>
      </c>
      <c r="C68" s="26" t="str">
        <f>INDEX(Company_Master!$A$2:$D$101,MATCH(Company_Master!D68,Company_Master!$D$2:$D$101,0),4)</f>
        <v>Australia</v>
      </c>
      <c r="D68" s="26" t="str">
        <f>_xlfn.XLOOKUP(Table1[[#This Row],[ESG Risk Tier (IFS) ]],Table1[ESG Risk Tier (IFS) ],Table1[ESG Risk Tier (IFS) ],"Not Found",0)</f>
        <v>Medium Risk</v>
      </c>
    </row>
    <row r="69" spans="1:4" x14ac:dyDescent="0.35">
      <c r="A69" s="27">
        <f>INDEX(Company_Master!$A$2:$D$101,MATCH(Company_Master!A69,Company_Master!$A$2:$A$101,0),1)</f>
        <v>68</v>
      </c>
      <c r="B69" s="27" t="str">
        <f>INDEX(Company_Master!$A$2:$D$101,MATCH(Company_Master!C69,Company_Master!$C$2:$C$101,0),3)</f>
        <v>Healthcare</v>
      </c>
      <c r="C69" s="27" t="str">
        <f>INDEX(Company_Master!$A$2:$D$101,MATCH(Company_Master!D69,Company_Master!$D$2:$D$101,0),4)</f>
        <v>Australia</v>
      </c>
      <c r="D69" s="27" t="str">
        <f>_xlfn.XLOOKUP(Table1[[#This Row],[ESG Risk Tier (IFS) ]],Table1[ESG Risk Tier (IFS) ],Table1[ESG Risk Tier (IFS) ],"Not Found",0)</f>
        <v>Medium Risk</v>
      </c>
    </row>
    <row r="70" spans="1:4" x14ac:dyDescent="0.35">
      <c r="A70" s="26">
        <f>INDEX(Company_Master!$A$2:$D$101,MATCH(Company_Master!A70,Company_Master!$A$2:$A$101,0),1)</f>
        <v>69</v>
      </c>
      <c r="B70" s="26" t="str">
        <f>INDEX(Company_Master!$A$2:$D$101,MATCH(Company_Master!C70,Company_Master!$C$2:$C$101,0),3)</f>
        <v>Retail</v>
      </c>
      <c r="C70" s="26" t="str">
        <f>INDEX(Company_Master!$A$2:$D$101,MATCH(Company_Master!D70,Company_Master!$D$2:$D$101,0),4)</f>
        <v>UK</v>
      </c>
      <c r="D70" s="26" t="str">
        <f>_xlfn.XLOOKUP(Table1[[#This Row],[ESG Risk Tier (IFS) ]],Table1[ESG Risk Tier (IFS) ],Table1[ESG Risk Tier (IFS) ],"Not Found",0)</f>
        <v>High Risk</v>
      </c>
    </row>
    <row r="71" spans="1:4" x14ac:dyDescent="0.35">
      <c r="A71" s="27">
        <f>INDEX(Company_Master!$A$2:$D$101,MATCH(Company_Master!A71,Company_Master!$A$2:$A$101,0),1)</f>
        <v>70</v>
      </c>
      <c r="B71" s="27" t="str">
        <f>INDEX(Company_Master!$A$2:$D$101,MATCH(Company_Master!C71,Company_Master!$C$2:$C$101,0),3)</f>
        <v>Finance</v>
      </c>
      <c r="C71" s="27" t="str">
        <f>INDEX(Company_Master!$A$2:$D$101,MATCH(Company_Master!D71,Company_Master!$D$2:$D$101,0),4)</f>
        <v>UK</v>
      </c>
      <c r="D71" s="27" t="str">
        <f>_xlfn.XLOOKUP(Table1[[#This Row],[ESG Risk Tier (IFS) ]],Table1[ESG Risk Tier (IFS) ],Table1[ESG Risk Tier (IFS) ],"Not Found",0)</f>
        <v>Medium Risk</v>
      </c>
    </row>
    <row r="72" spans="1:4" x14ac:dyDescent="0.35">
      <c r="A72" s="26">
        <f>INDEX(Company_Master!$A$2:$D$101,MATCH(Company_Master!A72,Company_Master!$A$2:$A$101,0),1)</f>
        <v>71</v>
      </c>
      <c r="B72" s="26" t="str">
        <f>INDEX(Company_Master!$A$2:$D$101,MATCH(Company_Master!C72,Company_Master!$C$2:$C$101,0),3)</f>
        <v>Technology</v>
      </c>
      <c r="C72" s="26" t="str">
        <f>INDEX(Company_Master!$A$2:$D$101,MATCH(Company_Master!D72,Company_Master!$D$2:$D$101,0),4)</f>
        <v>UK</v>
      </c>
      <c r="D72" s="26" t="str">
        <f>_xlfn.XLOOKUP(Table1[[#This Row],[ESG Risk Tier (IFS) ]],Table1[ESG Risk Tier (IFS) ],Table1[ESG Risk Tier (IFS) ],"Not Found",0)</f>
        <v>Medium Risk</v>
      </c>
    </row>
    <row r="73" spans="1:4" x14ac:dyDescent="0.35">
      <c r="A73" s="27">
        <f>INDEX(Company_Master!$A$2:$D$101,MATCH(Company_Master!A73,Company_Master!$A$2:$A$101,0),1)</f>
        <v>72</v>
      </c>
      <c r="B73" s="27" t="str">
        <f>INDEX(Company_Master!$A$2:$D$101,MATCH(Company_Master!C73,Company_Master!$C$2:$C$101,0),3)</f>
        <v>Retail</v>
      </c>
      <c r="C73" s="27" t="str">
        <f>INDEX(Company_Master!$A$2:$D$101,MATCH(Company_Master!D73,Company_Master!$D$2:$D$101,0),4)</f>
        <v>Canada</v>
      </c>
      <c r="D73" s="27" t="str">
        <f>_xlfn.XLOOKUP(Table1[[#This Row],[ESG Risk Tier (IFS) ]],Table1[ESG Risk Tier (IFS) ],Table1[ESG Risk Tier (IFS) ],"Not Found",0)</f>
        <v>Medium Risk</v>
      </c>
    </row>
    <row r="74" spans="1:4" x14ac:dyDescent="0.35">
      <c r="A74" s="26">
        <f>INDEX(Company_Master!$A$2:$D$101,MATCH(Company_Master!A74,Company_Master!$A$2:$A$101,0),1)</f>
        <v>73</v>
      </c>
      <c r="B74" s="26" t="str">
        <f>INDEX(Company_Master!$A$2:$D$101,MATCH(Company_Master!C74,Company_Master!$C$2:$C$101,0),3)</f>
        <v>Technology</v>
      </c>
      <c r="C74" s="26" t="str">
        <f>INDEX(Company_Master!$A$2:$D$101,MATCH(Company_Master!D74,Company_Master!$D$2:$D$101,0),4)</f>
        <v>Canada</v>
      </c>
      <c r="D74" s="26" t="str">
        <f>_xlfn.XLOOKUP(Table1[[#This Row],[ESG Risk Tier (IFS) ]],Table1[ESG Risk Tier (IFS) ],Table1[ESG Risk Tier (IFS) ],"Not Found",0)</f>
        <v>High Risk</v>
      </c>
    </row>
    <row r="75" spans="1:4" x14ac:dyDescent="0.35">
      <c r="A75" s="27">
        <f>INDEX(Company_Master!$A$2:$D$101,MATCH(Company_Master!A75,Company_Master!$A$2:$A$101,0),1)</f>
        <v>74</v>
      </c>
      <c r="B75" s="27" t="str">
        <f>INDEX(Company_Master!$A$2:$D$101,MATCH(Company_Master!C75,Company_Master!$C$2:$C$101,0),3)</f>
        <v>Energy</v>
      </c>
      <c r="C75" s="27" t="str">
        <f>INDEX(Company_Master!$A$2:$D$101,MATCH(Company_Master!D75,Company_Master!$D$2:$D$101,0),4)</f>
        <v>Germany</v>
      </c>
      <c r="D75" s="27" t="str">
        <f>_xlfn.XLOOKUP(Table1[[#This Row],[ESG Risk Tier (IFS) ]],Table1[ESG Risk Tier (IFS) ],Table1[ESG Risk Tier (IFS) ],"Not Found",0)</f>
        <v>High Risk</v>
      </c>
    </row>
    <row r="76" spans="1:4" x14ac:dyDescent="0.35">
      <c r="A76" s="26">
        <f>INDEX(Company_Master!$A$2:$D$101,MATCH(Company_Master!A76,Company_Master!$A$2:$A$101,0),1)</f>
        <v>75</v>
      </c>
      <c r="B76" s="26" t="str">
        <f>INDEX(Company_Master!$A$2:$D$101,MATCH(Company_Master!C76,Company_Master!$C$2:$C$101,0),3)</f>
        <v>Healthcare</v>
      </c>
      <c r="C76" s="26" t="str">
        <f>INDEX(Company_Master!$A$2:$D$101,MATCH(Company_Master!D76,Company_Master!$D$2:$D$101,0),4)</f>
        <v>Canada</v>
      </c>
      <c r="D76" s="26" t="str">
        <f>_xlfn.XLOOKUP(Table1[[#This Row],[ESG Risk Tier (IFS) ]],Table1[ESG Risk Tier (IFS) ],Table1[ESG Risk Tier (IFS) ],"Not Found",0)</f>
        <v>Low Risk</v>
      </c>
    </row>
    <row r="77" spans="1:4" x14ac:dyDescent="0.35">
      <c r="A77" s="27">
        <f>INDEX(Company_Master!$A$2:$D$101,MATCH(Company_Master!A77,Company_Master!$A$2:$A$101,0),1)</f>
        <v>76</v>
      </c>
      <c r="B77" s="27" t="str">
        <f>INDEX(Company_Master!$A$2:$D$101,MATCH(Company_Master!C77,Company_Master!$C$2:$C$101,0),3)</f>
        <v>Retail</v>
      </c>
      <c r="C77" s="27" t="str">
        <f>INDEX(Company_Master!$A$2:$D$101,MATCH(Company_Master!D77,Company_Master!$D$2:$D$101,0),4)</f>
        <v>Germany</v>
      </c>
      <c r="D77" s="27" t="str">
        <f>_xlfn.XLOOKUP(Table1[[#This Row],[ESG Risk Tier (IFS) ]],Table1[ESG Risk Tier (IFS) ],Table1[ESG Risk Tier (IFS) ],"Not Found",0)</f>
        <v>Low Risk</v>
      </c>
    </row>
    <row r="78" spans="1:4" x14ac:dyDescent="0.35">
      <c r="A78" s="26">
        <f>INDEX(Company_Master!$A$2:$D$101,MATCH(Company_Master!A78,Company_Master!$A$2:$A$101,0),1)</f>
        <v>77</v>
      </c>
      <c r="B78" s="26" t="str">
        <f>INDEX(Company_Master!$A$2:$D$101,MATCH(Company_Master!C78,Company_Master!$C$2:$C$101,0),3)</f>
        <v>Energy</v>
      </c>
      <c r="C78" s="26" t="str">
        <f>INDEX(Company_Master!$A$2:$D$101,MATCH(Company_Master!D78,Company_Master!$D$2:$D$101,0),4)</f>
        <v>Germany</v>
      </c>
      <c r="D78" s="26" t="str">
        <f>_xlfn.XLOOKUP(Table1[[#This Row],[ESG Risk Tier (IFS) ]],Table1[ESG Risk Tier (IFS) ],Table1[ESG Risk Tier (IFS) ],"Not Found",0)</f>
        <v>Medium Risk</v>
      </c>
    </row>
    <row r="79" spans="1:4" x14ac:dyDescent="0.35">
      <c r="A79" s="27">
        <f>INDEX(Company_Master!$A$2:$D$101,MATCH(Company_Master!A79,Company_Master!$A$2:$A$101,0),1)</f>
        <v>78</v>
      </c>
      <c r="B79" s="27" t="str">
        <f>INDEX(Company_Master!$A$2:$D$101,MATCH(Company_Master!C79,Company_Master!$C$2:$C$101,0),3)</f>
        <v>Energy</v>
      </c>
      <c r="C79" s="27" t="str">
        <f>INDEX(Company_Master!$A$2:$D$101,MATCH(Company_Master!D79,Company_Master!$D$2:$D$101,0),4)</f>
        <v>Japan</v>
      </c>
      <c r="D79" s="27" t="str">
        <f>_xlfn.XLOOKUP(Table1[[#This Row],[ESG Risk Tier (IFS) ]],Table1[ESG Risk Tier (IFS) ],Table1[ESG Risk Tier (IFS) ],"Not Found",0)</f>
        <v>Medium Risk</v>
      </c>
    </row>
    <row r="80" spans="1:4" x14ac:dyDescent="0.35">
      <c r="A80" s="26">
        <f>INDEX(Company_Master!$A$2:$D$101,MATCH(Company_Master!A80,Company_Master!$A$2:$A$101,0),1)</f>
        <v>79</v>
      </c>
      <c r="B80" s="26" t="str">
        <f>INDEX(Company_Master!$A$2:$D$101,MATCH(Company_Master!C80,Company_Master!$C$2:$C$101,0),3)</f>
        <v>Finance</v>
      </c>
      <c r="C80" s="26" t="str">
        <f>INDEX(Company_Master!$A$2:$D$101,MATCH(Company_Master!D80,Company_Master!$D$2:$D$101,0),4)</f>
        <v>Canada</v>
      </c>
      <c r="D80" s="26" t="str">
        <f>_xlfn.XLOOKUP(Table1[[#This Row],[ESG Risk Tier (IFS) ]],Table1[ESG Risk Tier (IFS) ],Table1[ESG Risk Tier (IFS) ],"Not Found",0)</f>
        <v>Low Risk</v>
      </c>
    </row>
    <row r="81" spans="1:4" x14ac:dyDescent="0.35">
      <c r="A81" s="27">
        <f>INDEX(Company_Master!$A$2:$D$101,MATCH(Company_Master!A81,Company_Master!$A$2:$A$101,0),1)</f>
        <v>80</v>
      </c>
      <c r="B81" s="27" t="str">
        <f>INDEX(Company_Master!$A$2:$D$101,MATCH(Company_Master!C81,Company_Master!$C$2:$C$101,0),3)</f>
        <v>Energy</v>
      </c>
      <c r="C81" s="27" t="str">
        <f>INDEX(Company_Master!$A$2:$D$101,MATCH(Company_Master!D81,Company_Master!$D$2:$D$101,0),4)</f>
        <v>Australia</v>
      </c>
      <c r="D81" s="27" t="str">
        <f>_xlfn.XLOOKUP(Table1[[#This Row],[ESG Risk Tier (IFS) ]],Table1[ESG Risk Tier (IFS) ],Table1[ESG Risk Tier (IFS) ],"Not Found",0)</f>
        <v>Medium Risk</v>
      </c>
    </row>
    <row r="82" spans="1:4" x14ac:dyDescent="0.35">
      <c r="A82" s="26">
        <f>INDEX(Company_Master!$A$2:$D$101,MATCH(Company_Master!A82,Company_Master!$A$2:$A$101,0),1)</f>
        <v>81</v>
      </c>
      <c r="B82" s="26" t="str">
        <f>INDEX(Company_Master!$A$2:$D$101,MATCH(Company_Master!C82,Company_Master!$C$2:$C$101,0),3)</f>
        <v>Finance</v>
      </c>
      <c r="C82" s="26" t="str">
        <f>INDEX(Company_Master!$A$2:$D$101,MATCH(Company_Master!D82,Company_Master!$D$2:$D$101,0),4)</f>
        <v>Australia</v>
      </c>
      <c r="D82" s="26" t="str">
        <f>_xlfn.XLOOKUP(Table1[[#This Row],[ESG Risk Tier (IFS) ]],Table1[ESG Risk Tier (IFS) ],Table1[ESG Risk Tier (IFS) ],"Not Found",0)</f>
        <v>Medium Risk</v>
      </c>
    </row>
    <row r="83" spans="1:4" x14ac:dyDescent="0.35">
      <c r="A83" s="27">
        <f>INDEX(Company_Master!$A$2:$D$101,MATCH(Company_Master!A83,Company_Master!$A$2:$A$101,0),1)</f>
        <v>82</v>
      </c>
      <c r="B83" s="27" t="str">
        <f>INDEX(Company_Master!$A$2:$D$101,MATCH(Company_Master!C83,Company_Master!$C$2:$C$101,0),3)</f>
        <v>Finance</v>
      </c>
      <c r="C83" s="27" t="str">
        <f>INDEX(Company_Master!$A$2:$D$101,MATCH(Company_Master!D83,Company_Master!$D$2:$D$101,0),4)</f>
        <v>Japan</v>
      </c>
      <c r="D83" s="27" t="str">
        <f>_xlfn.XLOOKUP(Table1[[#This Row],[ESG Risk Tier (IFS) ]],Table1[ESG Risk Tier (IFS) ],Table1[ESG Risk Tier (IFS) ],"Not Found",0)</f>
        <v>High Risk</v>
      </c>
    </row>
    <row r="84" spans="1:4" x14ac:dyDescent="0.35">
      <c r="A84" s="26">
        <f>INDEX(Company_Master!$A$2:$D$101,MATCH(Company_Master!A84,Company_Master!$A$2:$A$101,0),1)</f>
        <v>83</v>
      </c>
      <c r="B84" s="26" t="str">
        <f>INDEX(Company_Master!$A$2:$D$101,MATCH(Company_Master!C84,Company_Master!$C$2:$C$101,0),3)</f>
        <v>Manufacturing</v>
      </c>
      <c r="C84" s="26" t="str">
        <f>INDEX(Company_Master!$A$2:$D$101,MATCH(Company_Master!D84,Company_Master!$D$2:$D$101,0),4)</f>
        <v>Germany</v>
      </c>
      <c r="D84" s="26" t="str">
        <f>_xlfn.XLOOKUP(Table1[[#This Row],[ESG Risk Tier (IFS) ]],Table1[ESG Risk Tier (IFS) ],Table1[ESG Risk Tier (IFS) ],"Not Found",0)</f>
        <v>Low Risk</v>
      </c>
    </row>
    <row r="85" spans="1:4" x14ac:dyDescent="0.35">
      <c r="A85" s="27">
        <f>INDEX(Company_Master!$A$2:$D$101,MATCH(Company_Master!A85,Company_Master!$A$2:$A$101,0),1)</f>
        <v>84</v>
      </c>
      <c r="B85" s="27" t="str">
        <f>INDEX(Company_Master!$A$2:$D$101,MATCH(Company_Master!C85,Company_Master!$C$2:$C$101,0),3)</f>
        <v>Manufacturing</v>
      </c>
      <c r="C85" s="27" t="str">
        <f>INDEX(Company_Master!$A$2:$D$101,MATCH(Company_Master!D85,Company_Master!$D$2:$D$101,0),4)</f>
        <v>USA</v>
      </c>
      <c r="D85" s="27" t="str">
        <f>_xlfn.XLOOKUP(Table1[[#This Row],[ESG Risk Tier (IFS) ]],Table1[ESG Risk Tier (IFS) ],Table1[ESG Risk Tier (IFS) ],"Not Found",0)</f>
        <v>Low Risk</v>
      </c>
    </row>
    <row r="86" spans="1:4" x14ac:dyDescent="0.35">
      <c r="A86" s="26">
        <f>INDEX(Company_Master!$A$2:$D$101,MATCH(Company_Master!A86,Company_Master!$A$2:$A$101,0),1)</f>
        <v>85</v>
      </c>
      <c r="B86" s="26" t="str">
        <f>INDEX(Company_Master!$A$2:$D$101,MATCH(Company_Master!C86,Company_Master!$C$2:$C$101,0),3)</f>
        <v>Manufacturing</v>
      </c>
      <c r="C86" s="26" t="str">
        <f>INDEX(Company_Master!$A$2:$D$101,MATCH(Company_Master!D86,Company_Master!$D$2:$D$101,0),4)</f>
        <v>USA</v>
      </c>
      <c r="D86" s="26" t="str">
        <f>_xlfn.XLOOKUP(Table1[[#This Row],[ESG Risk Tier (IFS) ]],Table1[ESG Risk Tier (IFS) ],Table1[ESG Risk Tier (IFS) ],"Not Found",0)</f>
        <v>Medium Risk</v>
      </c>
    </row>
    <row r="87" spans="1:4" x14ac:dyDescent="0.35">
      <c r="A87" s="27">
        <f>INDEX(Company_Master!$A$2:$D$101,MATCH(Company_Master!A87,Company_Master!$A$2:$A$101,0),1)</f>
        <v>86</v>
      </c>
      <c r="B87" s="27" t="str">
        <f>INDEX(Company_Master!$A$2:$D$101,MATCH(Company_Master!C87,Company_Master!$C$2:$C$101,0),3)</f>
        <v>Manufacturing</v>
      </c>
      <c r="C87" s="27" t="str">
        <f>INDEX(Company_Master!$A$2:$D$101,MATCH(Company_Master!D87,Company_Master!$D$2:$D$101,0),4)</f>
        <v>Australia</v>
      </c>
      <c r="D87" s="27" t="str">
        <f>_xlfn.XLOOKUP(Table1[[#This Row],[ESG Risk Tier (IFS) ]],Table1[ESG Risk Tier (IFS) ],Table1[ESG Risk Tier (IFS) ],"Not Found",0)</f>
        <v>Medium Risk</v>
      </c>
    </row>
    <row r="88" spans="1:4" x14ac:dyDescent="0.35">
      <c r="A88" s="26">
        <f>INDEX(Company_Master!$A$2:$D$101,MATCH(Company_Master!A88,Company_Master!$A$2:$A$101,0),1)</f>
        <v>87</v>
      </c>
      <c r="B88" s="26" t="str">
        <f>INDEX(Company_Master!$A$2:$D$101,MATCH(Company_Master!C88,Company_Master!$C$2:$C$101,0),3)</f>
        <v>Manufacturing</v>
      </c>
      <c r="C88" s="26" t="str">
        <f>INDEX(Company_Master!$A$2:$D$101,MATCH(Company_Master!D88,Company_Master!$D$2:$D$101,0),4)</f>
        <v>Germany</v>
      </c>
      <c r="D88" s="26" t="str">
        <f>_xlfn.XLOOKUP(Table1[[#This Row],[ESG Risk Tier (IFS) ]],Table1[ESG Risk Tier (IFS) ],Table1[ESG Risk Tier (IFS) ],"Not Found",0)</f>
        <v>Medium Risk</v>
      </c>
    </row>
    <row r="89" spans="1:4" x14ac:dyDescent="0.35">
      <c r="A89" s="27">
        <f>INDEX(Company_Master!$A$2:$D$101,MATCH(Company_Master!A89,Company_Master!$A$2:$A$101,0),1)</f>
        <v>88</v>
      </c>
      <c r="B89" s="27" t="str">
        <f>INDEX(Company_Master!$A$2:$D$101,MATCH(Company_Master!C89,Company_Master!$C$2:$C$101,0),3)</f>
        <v>Retail</v>
      </c>
      <c r="C89" s="27" t="str">
        <f>INDEX(Company_Master!$A$2:$D$101,MATCH(Company_Master!D89,Company_Master!$D$2:$D$101,0),4)</f>
        <v>Japan</v>
      </c>
      <c r="D89" s="27" t="str">
        <f>_xlfn.XLOOKUP(Table1[[#This Row],[ESG Risk Tier (IFS) ]],Table1[ESG Risk Tier (IFS) ],Table1[ESG Risk Tier (IFS) ],"Not Found",0)</f>
        <v>Low Risk</v>
      </c>
    </row>
    <row r="90" spans="1:4" x14ac:dyDescent="0.35">
      <c r="A90" s="26">
        <f>INDEX(Company_Master!$A$2:$D$101,MATCH(Company_Master!A90,Company_Master!$A$2:$A$101,0),1)</f>
        <v>89</v>
      </c>
      <c r="B90" s="26" t="str">
        <f>INDEX(Company_Master!$A$2:$D$101,MATCH(Company_Master!C90,Company_Master!$C$2:$C$101,0),3)</f>
        <v>Technology</v>
      </c>
      <c r="C90" s="26" t="str">
        <f>INDEX(Company_Master!$A$2:$D$101,MATCH(Company_Master!D90,Company_Master!$D$2:$D$101,0),4)</f>
        <v>UK</v>
      </c>
      <c r="D90" s="26" t="str">
        <f>_xlfn.XLOOKUP(Table1[[#This Row],[ESG Risk Tier (IFS) ]],Table1[ESG Risk Tier (IFS) ],Table1[ESG Risk Tier (IFS) ],"Not Found",0)</f>
        <v>High Risk</v>
      </c>
    </row>
    <row r="91" spans="1:4" x14ac:dyDescent="0.35">
      <c r="A91" s="27">
        <f>INDEX(Company_Master!$A$2:$D$101,MATCH(Company_Master!A91,Company_Master!$A$2:$A$101,0),1)</f>
        <v>90</v>
      </c>
      <c r="B91" s="27" t="str">
        <f>INDEX(Company_Master!$A$2:$D$101,MATCH(Company_Master!C91,Company_Master!$C$2:$C$101,0),3)</f>
        <v>Healthcare</v>
      </c>
      <c r="C91" s="27" t="str">
        <f>INDEX(Company_Master!$A$2:$D$101,MATCH(Company_Master!D91,Company_Master!$D$2:$D$101,0),4)</f>
        <v>Australia</v>
      </c>
      <c r="D91" s="27" t="str">
        <f>_xlfn.XLOOKUP(Table1[[#This Row],[ESG Risk Tier (IFS) ]],Table1[ESG Risk Tier (IFS) ],Table1[ESG Risk Tier (IFS) ],"Not Found",0)</f>
        <v>Medium Risk</v>
      </c>
    </row>
    <row r="92" spans="1:4" x14ac:dyDescent="0.35">
      <c r="A92" s="26">
        <f>INDEX(Company_Master!$A$2:$D$101,MATCH(Company_Master!A92,Company_Master!$A$2:$A$101,0),1)</f>
        <v>91</v>
      </c>
      <c r="B92" s="26" t="str">
        <f>INDEX(Company_Master!$A$2:$D$101,MATCH(Company_Master!C92,Company_Master!$C$2:$C$101,0),3)</f>
        <v>Healthcare</v>
      </c>
      <c r="C92" s="26" t="str">
        <f>INDEX(Company_Master!$A$2:$D$101,MATCH(Company_Master!D92,Company_Master!$D$2:$D$101,0),4)</f>
        <v>Germany</v>
      </c>
      <c r="D92" s="26" t="str">
        <f>_xlfn.XLOOKUP(Table1[[#This Row],[ESG Risk Tier (IFS) ]],Table1[ESG Risk Tier (IFS) ],Table1[ESG Risk Tier (IFS) ],"Not Found",0)</f>
        <v>Medium Risk</v>
      </c>
    </row>
    <row r="93" spans="1:4" x14ac:dyDescent="0.35">
      <c r="A93" s="27">
        <f>INDEX(Company_Master!$A$2:$D$101,MATCH(Company_Master!A93,Company_Master!$A$2:$A$101,0),1)</f>
        <v>92</v>
      </c>
      <c r="B93" s="27" t="str">
        <f>INDEX(Company_Master!$A$2:$D$101,MATCH(Company_Master!C93,Company_Master!$C$2:$C$101,0),3)</f>
        <v>Retail</v>
      </c>
      <c r="C93" s="27" t="str">
        <f>INDEX(Company_Master!$A$2:$D$101,MATCH(Company_Master!D93,Company_Master!$D$2:$D$101,0),4)</f>
        <v>Japan</v>
      </c>
      <c r="D93" s="27" t="str">
        <f>_xlfn.XLOOKUP(Table1[[#This Row],[ESG Risk Tier (IFS) ]],Table1[ESG Risk Tier (IFS) ],Table1[ESG Risk Tier (IFS) ],"Not Found",0)</f>
        <v>Medium Risk</v>
      </c>
    </row>
    <row r="94" spans="1:4" x14ac:dyDescent="0.35">
      <c r="A94" s="26">
        <f>INDEX(Company_Master!$A$2:$D$101,MATCH(Company_Master!A94,Company_Master!$A$2:$A$101,0),1)</f>
        <v>93</v>
      </c>
      <c r="B94" s="26" t="str">
        <f>INDEX(Company_Master!$A$2:$D$101,MATCH(Company_Master!C94,Company_Master!$C$2:$C$101,0),3)</f>
        <v>Technology</v>
      </c>
      <c r="C94" s="26" t="str">
        <f>INDEX(Company_Master!$A$2:$D$101,MATCH(Company_Master!D94,Company_Master!$D$2:$D$101,0),4)</f>
        <v>Germany</v>
      </c>
      <c r="D94" s="26" t="str">
        <f>_xlfn.XLOOKUP(Table1[[#This Row],[ESG Risk Tier (IFS) ]],Table1[ESG Risk Tier (IFS) ],Table1[ESG Risk Tier (IFS) ],"Not Found",0)</f>
        <v>Medium Risk</v>
      </c>
    </row>
    <row r="95" spans="1:4" x14ac:dyDescent="0.35">
      <c r="A95" s="27">
        <f>INDEX(Company_Master!$A$2:$D$101,MATCH(Company_Master!A95,Company_Master!$A$2:$A$101,0),1)</f>
        <v>94</v>
      </c>
      <c r="B95" s="27" t="str">
        <f>INDEX(Company_Master!$A$2:$D$101,MATCH(Company_Master!C95,Company_Master!$C$2:$C$101,0),3)</f>
        <v>Technology</v>
      </c>
      <c r="C95" s="27" t="str">
        <f>INDEX(Company_Master!$A$2:$D$101,MATCH(Company_Master!D95,Company_Master!$D$2:$D$101,0),4)</f>
        <v>Australia</v>
      </c>
      <c r="D95" s="27" t="str">
        <f>_xlfn.XLOOKUP(Table1[[#This Row],[ESG Risk Tier (IFS) ]],Table1[ESG Risk Tier (IFS) ],Table1[ESG Risk Tier (IFS) ],"Not Found",0)</f>
        <v>Low Risk</v>
      </c>
    </row>
    <row r="96" spans="1:4" x14ac:dyDescent="0.35">
      <c r="A96" s="26">
        <f>INDEX(Company_Master!$A$2:$D$101,MATCH(Company_Master!A96,Company_Master!$A$2:$A$101,0),1)</f>
        <v>95</v>
      </c>
      <c r="B96" s="26" t="str">
        <f>INDEX(Company_Master!$A$2:$D$101,MATCH(Company_Master!C96,Company_Master!$C$2:$C$101,0),3)</f>
        <v>Retail</v>
      </c>
      <c r="C96" s="26" t="str">
        <f>INDEX(Company_Master!$A$2:$D$101,MATCH(Company_Master!D96,Company_Master!$D$2:$D$101,0),4)</f>
        <v>Australia</v>
      </c>
      <c r="D96" s="26" t="str">
        <f>_xlfn.XLOOKUP(Table1[[#This Row],[ESG Risk Tier (IFS) ]],Table1[ESG Risk Tier (IFS) ],Table1[ESG Risk Tier (IFS) ],"Not Found",0)</f>
        <v>Medium Risk</v>
      </c>
    </row>
    <row r="97" spans="1:4" x14ac:dyDescent="0.35">
      <c r="A97" s="27">
        <f>INDEX(Company_Master!$A$2:$D$101,MATCH(Company_Master!A97,Company_Master!$A$2:$A$101,0),1)</f>
        <v>96</v>
      </c>
      <c r="B97" s="27" t="str">
        <f>INDEX(Company_Master!$A$2:$D$101,MATCH(Company_Master!C97,Company_Master!$C$2:$C$101,0),3)</f>
        <v>Finance</v>
      </c>
      <c r="C97" s="27" t="str">
        <f>INDEX(Company_Master!$A$2:$D$101,MATCH(Company_Master!D97,Company_Master!$D$2:$D$101,0),4)</f>
        <v>UK</v>
      </c>
      <c r="D97" s="27" t="str">
        <f>_xlfn.XLOOKUP(Table1[[#This Row],[ESG Risk Tier (IFS) ]],Table1[ESG Risk Tier (IFS) ],Table1[ESG Risk Tier (IFS) ],"Not Found",0)</f>
        <v>Low Risk</v>
      </c>
    </row>
    <row r="98" spans="1:4" x14ac:dyDescent="0.35">
      <c r="A98" s="26">
        <f>INDEX(Company_Master!$A$2:$D$101,MATCH(Company_Master!A98,Company_Master!$A$2:$A$101,0),1)</f>
        <v>97</v>
      </c>
      <c r="B98" s="26" t="str">
        <f>INDEX(Company_Master!$A$2:$D$101,MATCH(Company_Master!C98,Company_Master!$C$2:$C$101,0),3)</f>
        <v>Finance</v>
      </c>
      <c r="C98" s="26" t="str">
        <f>INDEX(Company_Master!$A$2:$D$101,MATCH(Company_Master!D98,Company_Master!$D$2:$D$101,0),4)</f>
        <v>USA</v>
      </c>
      <c r="D98" s="26" t="str">
        <f>_xlfn.XLOOKUP(Table1[[#This Row],[ESG Risk Tier (IFS) ]],Table1[ESG Risk Tier (IFS) ],Table1[ESG Risk Tier (IFS) ],"Not Found",0)</f>
        <v>High Risk</v>
      </c>
    </row>
    <row r="99" spans="1:4" x14ac:dyDescent="0.35">
      <c r="A99" s="27">
        <f>INDEX(Company_Master!$A$2:$D$101,MATCH(Company_Master!A99,Company_Master!$A$2:$A$101,0),1)</f>
        <v>98</v>
      </c>
      <c r="B99" s="27" t="str">
        <f>INDEX(Company_Master!$A$2:$D$101,MATCH(Company_Master!C99,Company_Master!$C$2:$C$101,0),3)</f>
        <v>Energy</v>
      </c>
      <c r="C99" s="27" t="str">
        <f>INDEX(Company_Master!$A$2:$D$101,MATCH(Company_Master!D99,Company_Master!$D$2:$D$101,0),4)</f>
        <v>Germany</v>
      </c>
      <c r="D99" s="27" t="str">
        <f>_xlfn.XLOOKUP(Table1[[#This Row],[ESG Risk Tier (IFS) ]],Table1[ESG Risk Tier (IFS) ],Table1[ESG Risk Tier (IFS) ],"Not Found",0)</f>
        <v>Medium Risk</v>
      </c>
    </row>
    <row r="100" spans="1:4" x14ac:dyDescent="0.35">
      <c r="A100" s="26">
        <f>INDEX(Company_Master!$A$2:$D$101,MATCH(Company_Master!A100,Company_Master!$A$2:$A$101,0),1)</f>
        <v>99</v>
      </c>
      <c r="B100" s="26" t="str">
        <f>INDEX(Company_Master!$A$2:$D$101,MATCH(Company_Master!C100,Company_Master!$C$2:$C$101,0),3)</f>
        <v>Manufacturing</v>
      </c>
      <c r="C100" s="26" t="str">
        <f>INDEX(Company_Master!$A$2:$D$101,MATCH(Company_Master!D100,Company_Master!$D$2:$D$101,0),4)</f>
        <v>USA</v>
      </c>
      <c r="D100" s="26" t="str">
        <f>_xlfn.XLOOKUP(Table1[[#This Row],[ESG Risk Tier (IFS) ]],Table1[ESG Risk Tier (IFS) ],Table1[ESG Risk Tier (IFS) ],"Not Found",0)</f>
        <v>Medium Risk</v>
      </c>
    </row>
    <row r="101" spans="1:4" x14ac:dyDescent="0.35">
      <c r="A101" s="27">
        <f>INDEX(Company_Master!$A$2:$D$101,MATCH(Company_Master!A101,Company_Master!$A$2:$A$101,0),1)</f>
        <v>100</v>
      </c>
      <c r="B101" s="27" t="str">
        <f>INDEX(Company_Master!$A$2:$D$101,MATCH(Company_Master!C101,Company_Master!$C$2:$C$101,0),3)</f>
        <v>Manufacturing</v>
      </c>
      <c r="C101" s="27" t="str">
        <f>INDEX(Company_Master!$A$2:$D$101,MATCH(Company_Master!D101,Company_Master!$D$2:$D$101,0),4)</f>
        <v>USA</v>
      </c>
      <c r="D101" s="27" t="str">
        <f>_xlfn.XLOOKUP(Table1[[#This Row],[ESG Risk Tier (IFS) ]],Table1[ESG Risk Tier (IFS) ],Table1[ESG Risk Tier (IFS) ],"Not Found",0)</f>
        <v>Low Risk</v>
      </c>
    </row>
  </sheetData>
  <autoFilter ref="A1:D1" xr:uid="{66CD8B7C-4384-4BD0-9741-7E31EB3459D9}"/>
  <conditionalFormatting sqref="D2:D101">
    <cfRule type="containsText" dxfId="49" priority="3" operator="containsText" text="High Risk">
      <formula>NOT(ISERROR(SEARCH("High Risk",D2)))</formula>
    </cfRule>
    <cfRule type="colorScale" priority="4">
      <colorScale>
        <cfvo type="min"/>
        <cfvo type="percentile" val="50"/>
        <cfvo type="max"/>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G4">
    <cfRule type="containsText" dxfId="48" priority="2" operator="containsText" text="High Risk">
      <formula>NOT(ISERROR(SEARCH("High Risk",G4)))</formula>
    </cfRule>
  </conditionalFormatting>
  <conditionalFormatting sqref="A2:D101">
    <cfRule type="expression" dxfId="47" priority="1">
      <formula>$D2="High Risk"</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E5897BFE3F20C428DDA3BB5472FCF90" ma:contentTypeVersion="11" ma:contentTypeDescription="Create a new document." ma:contentTypeScope="" ma:versionID="2bb694f5e6095b9b8bf6b77b907678c7">
  <xsd:schema xmlns:xsd="http://www.w3.org/2001/XMLSchema" xmlns:xs="http://www.w3.org/2001/XMLSchema" xmlns:p="http://schemas.microsoft.com/office/2006/metadata/properties" xmlns:ns3="cb34f394-4510-4d2e-aafa-bf577b02c205" targetNamespace="http://schemas.microsoft.com/office/2006/metadata/properties" ma:root="true" ma:fieldsID="9f7236c59a6d8914de37a00be9f501dd" ns3:_="">
    <xsd:import namespace="cb34f394-4510-4d2e-aafa-bf577b02c205"/>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34f394-4510-4d2e-aafa-bf577b02c205"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b34f394-4510-4d2e-aafa-bf577b02c205" xsi:nil="true"/>
  </documentManagement>
</p:properties>
</file>

<file path=customXml/itemProps1.xml><?xml version="1.0" encoding="utf-8"?>
<ds:datastoreItem xmlns:ds="http://schemas.openxmlformats.org/officeDocument/2006/customXml" ds:itemID="{8D2CB738-A18D-47B1-A04F-16E22584CA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34f394-4510-4d2e-aafa-bf577b02c2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5EF0175-C71E-48AD-8D61-4DFD6B11F2DE}">
  <ds:schemaRefs>
    <ds:schemaRef ds:uri="http://schemas.microsoft.com/sharepoint/v3/contenttype/forms"/>
  </ds:schemaRefs>
</ds:datastoreItem>
</file>

<file path=customXml/itemProps3.xml><?xml version="1.0" encoding="utf-8"?>
<ds:datastoreItem xmlns:ds="http://schemas.openxmlformats.org/officeDocument/2006/customXml" ds:itemID="{5CD8FA99-E7CD-42B8-97ED-9D5AD4ED4A8B}">
  <ds:schemaRefs>
    <ds:schemaRef ds:uri="http://schemas.openxmlformats.org/package/2006/metadata/core-properties"/>
    <ds:schemaRef ds:uri="http://schemas.microsoft.com/office/2006/documentManagement/types"/>
    <ds:schemaRef ds:uri="http://purl.org/dc/dcmitype/"/>
    <ds:schemaRef ds:uri="cb34f394-4510-4d2e-aafa-bf577b02c205"/>
    <ds:schemaRef ds:uri="http://schemas.microsoft.com/office/2006/metadata/properties"/>
    <ds:schemaRef ds:uri="http://purl.org/dc/terms/"/>
    <ds:schemaRef ds:uri="http://purl.org/dc/elements/1.1/"/>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Company_Master</vt:lpstr>
      <vt:lpstr>Environmental</vt:lpstr>
      <vt:lpstr>Social</vt:lpstr>
      <vt:lpstr>Governance</vt:lpstr>
      <vt:lpstr>Financial</vt:lpstr>
      <vt:lpstr>Pivot_Tab_Prac</vt:lpstr>
      <vt:lpstr>Master_Dashboard</vt:lpstr>
      <vt:lpstr>Risk-flagging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Patel, Dhruva</cp:lastModifiedBy>
  <cp:revision/>
  <dcterms:created xsi:type="dcterms:W3CDTF">2026-07-07T21:22:23Z</dcterms:created>
  <dcterms:modified xsi:type="dcterms:W3CDTF">2026-09-26T04:07:49Z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0x010100FE5897BFE3F20C428DDA3BB5472FCF90</vt:lpwstr>
  </property>
</Properties>
</file>